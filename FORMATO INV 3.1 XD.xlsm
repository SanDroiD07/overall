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an\Downloads\"/>
    </mc:Choice>
  </mc:AlternateContent>
  <bookViews>
    <workbookView xWindow="-120" yWindow="-120" windowWidth="20730" windowHeight="11160"/>
  </bookViews>
  <sheets>
    <sheet name="AUDITORIA" sheetId="7" r:id="rId1"/>
    <sheet name="STOCK" sheetId="1" r:id="rId2"/>
    <sheet name="SOBRANTES" sheetId="6" state="hidden" r:id="rId3"/>
    <sheet name="Hoja2" sheetId="2" state="hidden" r:id="rId4"/>
    <sheet name="COSTOS" sheetId="5" state="hidden" r:id="rId5"/>
    <sheet name="PDV" sheetId="3" state="hidden" r:id="rId6"/>
    <sheet name="Hoja4" sheetId="4" state="hidden" r:id="rId7"/>
  </sheets>
  <definedNames>
    <definedName name="_xlnm._FilterDatabase" localSheetId="3" hidden="1">Hoja2!#REF!</definedName>
    <definedName name="_xlnm._FilterDatabase" localSheetId="5" hidden="1">PDV!$A$1:$F$1</definedName>
    <definedName name="_xlnm._FilterDatabase" localSheetId="2" hidden="1">SOBRANTES!$D$1:$Y$1</definedName>
    <definedName name="_xlnm._FilterDatabase" localSheetId="1" hidden="1">STOCK!$C$2:$X$2</definedName>
    <definedName name="A_1">Hoja2!$C$3:$C$6</definedName>
    <definedName name="A_2">Hoja2!$C$7:$C$11</definedName>
    <definedName name="A_3">Hoja2!$C$12:$C$16</definedName>
    <definedName name="AA_1">Hoja2!$F$3:$F$7</definedName>
    <definedName name="AA_2">Hoja2!$F$8:$F$12</definedName>
    <definedName name="AA_3">Hoja2!$F$13:$F$17</definedName>
    <definedName name="_xlnm.Extract" localSheetId="3">Hoja2!$Q$2</definedName>
    <definedName name="B_0">Hoja2!$A$1</definedName>
    <definedName name="D_1">Hoja2!$F$3:$F$4</definedName>
    <definedName name="D_10">Hoja2!$F$13</definedName>
    <definedName name="D_11">Hoja2!$F$14</definedName>
    <definedName name="D_12">Hoja2!$F$16</definedName>
    <definedName name="D_13">Hoja2!$F$15</definedName>
    <definedName name="D_14">Hoja2!$F$17</definedName>
    <definedName name="D_2">Hoja2!$F$5</definedName>
    <definedName name="D_3">Hoja2!$F$6</definedName>
    <definedName name="D_4">Hoja2!$F$7</definedName>
    <definedName name="D_5">Hoja2!$F$8</definedName>
    <definedName name="D_6">Hoja2!$F$9</definedName>
    <definedName name="D_7">Hoja2!$F$10</definedName>
    <definedName name="D_8">Hoja2!$F$11</definedName>
    <definedName name="D_9">Hoja2!$F$12</definedName>
    <definedName name="F_1">Hoja2!$C$3:$C$6</definedName>
    <definedName name="F_2">Hoja2!$C$7:$C$10</definedName>
    <definedName name="L_1">Hoja2!$Q$3</definedName>
    <definedName name="L_2">Hoja2!$Q$4:$Q$12</definedName>
    <definedName name="L_3">Hoja2!$Q$13:$Q$21</definedName>
    <definedName name="L_4">Hoja2!$Q$22:$Q$24</definedName>
    <definedName name="MD_10">Hoja2!$K$3:$K$5</definedName>
    <definedName name="MD_11">Hoja2!$K$6:$K$7</definedName>
    <definedName name="md_12">Hoja2!$K$8</definedName>
    <definedName name="MD_13">Hoja2!$K$9:$K$17</definedName>
    <definedName name="MD_14">Hoja2!$K$18:$K$20</definedName>
    <definedName name="MD_15">Hoja2!$K$21</definedName>
    <definedName name="MD_16">Hoja2!$K$22</definedName>
    <definedName name="N_1">Hoja2!$M$3</definedName>
    <definedName name="N_2">Hoja2!$M$4:$M$5</definedName>
    <definedName name="N_3">Hoja2!$C$12:$C$14</definedName>
    <definedName name="VACIO">Hoja2!$F$18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6" l="1"/>
  <c r="A2" i="6" l="1"/>
  <c r="U2" i="6"/>
  <c r="S2" i="6"/>
  <c r="R2" i="6"/>
  <c r="Q2" i="6"/>
  <c r="P2" i="6"/>
  <c r="O2" i="6"/>
  <c r="K2" i="6"/>
  <c r="H2" i="6"/>
  <c r="E2" i="6"/>
  <c r="C2" i="6"/>
</calcChain>
</file>

<file path=xl/comments1.xml><?xml version="1.0" encoding="utf-8"?>
<comments xmlns="http://schemas.openxmlformats.org/spreadsheetml/2006/main">
  <authors>
    <author>RENZO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 xml:space="preserve">LISTADOS NO PONER OTRA COSA
</t>
        </r>
      </text>
    </comment>
  </commentList>
</comments>
</file>

<file path=xl/sharedStrings.xml><?xml version="1.0" encoding="utf-8"?>
<sst xmlns="http://schemas.openxmlformats.org/spreadsheetml/2006/main" count="2220" uniqueCount="895">
  <si>
    <t>TIPO</t>
  </si>
  <si>
    <t>INTERLOCUTOR</t>
  </si>
  <si>
    <t>SUPERVISOR</t>
  </si>
  <si>
    <t>REGION</t>
  </si>
  <si>
    <t>DEPARTAMENTO</t>
  </si>
  <si>
    <t>JEFE DE VENTAS</t>
  </si>
  <si>
    <t>Status</t>
  </si>
  <si>
    <t>SUB_Motivo</t>
  </si>
  <si>
    <t>MIGUEL LOO</t>
  </si>
  <si>
    <t>NORTE</t>
  </si>
  <si>
    <t>PIURA</t>
  </si>
  <si>
    <t>FECHA_INVENTARIO</t>
  </si>
  <si>
    <t>NO EMITIDA</t>
  </si>
  <si>
    <t>FIRMADA</t>
  </si>
  <si>
    <t>PERFECTAS CONDICIONES</t>
  </si>
  <si>
    <t>DAÑO COSMETICO</t>
  </si>
  <si>
    <t>DOA</t>
  </si>
  <si>
    <t>FALTANTES ACCESORIO</t>
  </si>
  <si>
    <t>FALTANTE INVENTARIO</t>
  </si>
  <si>
    <t>SUSTENTADO_VENTA</t>
  </si>
  <si>
    <t>FISICO</t>
  </si>
  <si>
    <t>FALTANTE</t>
  </si>
  <si>
    <t>INSIDENCIA SISCAD</t>
  </si>
  <si>
    <t>SERIE</t>
  </si>
  <si>
    <t>DESCRIPCION</t>
  </si>
  <si>
    <t>MATERIAL</t>
  </si>
  <si>
    <t>PUNTO DE VENTA</t>
  </si>
  <si>
    <t>STATUS</t>
  </si>
  <si>
    <t>SUB_MOTIVO</t>
  </si>
  <si>
    <t>OBSERVACION</t>
  </si>
  <si>
    <t>ESTADO_CARTA</t>
  </si>
  <si>
    <t>SUB_MOTIVOCARTA</t>
  </si>
  <si>
    <t>NO FIRMADA</t>
  </si>
  <si>
    <t>PDV</t>
  </si>
  <si>
    <t>LIMA METROPOLITANA II</t>
  </si>
  <si>
    <t>LIMA</t>
  </si>
  <si>
    <t>CALDERON GUERRERO,SHYRLEAY CHRYSTIE</t>
  </si>
  <si>
    <t>METRO PAN_SN</t>
  </si>
  <si>
    <t>KELY AFATA MENDOZA</t>
  </si>
  <si>
    <t>METRO COMAS_SN</t>
  </si>
  <si>
    <t>METRO LIMA_SN</t>
  </si>
  <si>
    <t>METRO BREÑA_SN</t>
  </si>
  <si>
    <t>METRO VENEZUELA_SN</t>
  </si>
  <si>
    <t>METRO CALLAO_SN</t>
  </si>
  <si>
    <t>HMETRO INDPENDII_SN</t>
  </si>
  <si>
    <t>HMETRO SMP_SN</t>
  </si>
  <si>
    <t>METRO ARG_SN</t>
  </si>
  <si>
    <t>METRO COLONIAL_SN</t>
  </si>
  <si>
    <t>METRO COMAS 2_SN</t>
  </si>
  <si>
    <t>METRO LIMA2_SN</t>
  </si>
  <si>
    <t>METRO LVICTORIA_SN</t>
  </si>
  <si>
    <t>METRO PERSHING_SN</t>
  </si>
  <si>
    <t>METRO SAN MIGUEL_SN</t>
  </si>
  <si>
    <t>METRO UNI_SN</t>
  </si>
  <si>
    <t>METRO GARZON</t>
  </si>
  <si>
    <t>SAGA MEGAPLAZA_SN</t>
  </si>
  <si>
    <t>SAGA LIMA_SN</t>
  </si>
  <si>
    <t>SAGA MIOTTA</t>
  </si>
  <si>
    <t>SAGA ATOCONGO_SN</t>
  </si>
  <si>
    <t>SAGA CIVICO</t>
  </si>
  <si>
    <t>SAGA INDEPNDENCIA_SN</t>
  </si>
  <si>
    <t>SAGA SAN MIGUEL_SN</t>
  </si>
  <si>
    <t>SAGA STA ANITA_SN</t>
  </si>
  <si>
    <t>SAGA MIRAFLORES_SN</t>
  </si>
  <si>
    <t>SAGA JOCKEY PLAZA_SN</t>
  </si>
  <si>
    <t>SAGA JESUS MARIA</t>
  </si>
  <si>
    <t>SAGA COLONIAL_SN</t>
  </si>
  <si>
    <t>SAGA SAN ISIDRO_SN</t>
  </si>
  <si>
    <t>SAGA PURUCHUCO</t>
  </si>
  <si>
    <t>SAGA SURQUILLO_SN</t>
  </si>
  <si>
    <t>PARIS INDEPENDENC_SN</t>
  </si>
  <si>
    <t>PARIS MEGAPLAZA_SN</t>
  </si>
  <si>
    <t>PARIS BELLAVISTA</t>
  </si>
  <si>
    <t>PARIS BREÑA</t>
  </si>
  <si>
    <t>PARIS JOCKEY PLAZA</t>
  </si>
  <si>
    <t>PARIS MALL DEL SUR</t>
  </si>
  <si>
    <t>OECHSLE PLAZA NO _SN</t>
  </si>
  <si>
    <t>OECHSLE MALL DEL SUR</t>
  </si>
  <si>
    <t>OECHSLE JRUNION_SN</t>
  </si>
  <si>
    <t>OECHSLE LIMA_SN</t>
  </si>
  <si>
    <t>OECHSLE SAN BORJA_SN</t>
  </si>
  <si>
    <t>OECHSLE MIRAFLORES_SN</t>
  </si>
  <si>
    <t>OECHSLE PRIMAVERA_SN</t>
  </si>
  <si>
    <t>OECHSLE JESUS MARIA</t>
  </si>
  <si>
    <t>OECHSLE JOCKEY_SN</t>
  </si>
  <si>
    <t>OECHSLE PURUCHUCO</t>
  </si>
  <si>
    <t>OESCHLE VMT</t>
  </si>
  <si>
    <t>CAD EFE SJL1</t>
  </si>
  <si>
    <t>CAD EFE SJL4</t>
  </si>
  <si>
    <t>CAD EFE SMP</t>
  </si>
  <si>
    <t>CAD EFE VENTANILLA</t>
  </si>
  <si>
    <t>CAD EFE VMT</t>
  </si>
  <si>
    <t>CURACAO ATE2_SN</t>
  </si>
  <si>
    <t>CURACAO CHORRILLOS_SN</t>
  </si>
  <si>
    <t>CURACAO SJM_SN</t>
  </si>
  <si>
    <t>METRO SJL_SN</t>
  </si>
  <si>
    <t>METRO PROCERES_SN</t>
  </si>
  <si>
    <t>METRO CHORRILLOS_SN</t>
  </si>
  <si>
    <t>METRO CANADA_SN</t>
  </si>
  <si>
    <t>METRO ATE_SN</t>
  </si>
  <si>
    <t>METRO ATOCONGO_SN</t>
  </si>
  <si>
    <t>HMETRO BALTA_SN</t>
  </si>
  <si>
    <t>HMETRO MEXICO_SN</t>
  </si>
  <si>
    <t>METRO AGUSTINO_SN</t>
  </si>
  <si>
    <t>METRO BARRANCO_SN</t>
  </si>
  <si>
    <t>METRO CHORRILLOS2_SN</t>
  </si>
  <si>
    <t>METRO LA MOLINA_SN</t>
  </si>
  <si>
    <t>METRO LIMATAMBO_SN</t>
  </si>
  <si>
    <t>METRO SJM_SN</t>
  </si>
  <si>
    <t>METRO GAMARRA</t>
  </si>
  <si>
    <t>METRO SURQUILLO_SN</t>
  </si>
  <si>
    <t>WONG SAN MIGUEL_SN</t>
  </si>
  <si>
    <t>WONG ATE_SN</t>
  </si>
  <si>
    <t>WONG AURORA_SN</t>
  </si>
  <si>
    <t>WONG BENAVIDES_SN</t>
  </si>
  <si>
    <t>WONG CAMACHO_SN</t>
  </si>
  <si>
    <t>WONG CHACARILLA_SN</t>
  </si>
  <si>
    <t>WONG DOS DE MAYO_SN</t>
  </si>
  <si>
    <t>WONG MARSANO_SN</t>
  </si>
  <si>
    <t>WONG OVALO_SN</t>
  </si>
  <si>
    <t>WONG SAN BORJA_SN</t>
  </si>
  <si>
    <t>WONG VIÑAS_SN</t>
  </si>
  <si>
    <t>RIPLEY LOS OLIVOS_SN</t>
  </si>
  <si>
    <t>RIPLEY INDEPENDENCIA_SN</t>
  </si>
  <si>
    <t>RIPLEY MALL DEL SUR</t>
  </si>
  <si>
    <t>RIPLEY CHORRILLOS_SN</t>
  </si>
  <si>
    <t>RIPLEY SAN MIGUEL_SN</t>
  </si>
  <si>
    <t>RIPLEY COLONIAL_SN</t>
  </si>
  <si>
    <t>RIPLEY STA ANITA_SN</t>
  </si>
  <si>
    <t>RIPLEY JOCKEYSN</t>
  </si>
  <si>
    <t>RIPLEY SAN BORJA_SN</t>
  </si>
  <si>
    <t>RIPLEY LIMATAMBO_SN</t>
  </si>
  <si>
    <t>RIPLEY MIRAFLORES_SN</t>
  </si>
  <si>
    <t>RIPLEY BREÑA</t>
  </si>
  <si>
    <t>RIPLEY JR UNION</t>
  </si>
  <si>
    <t>RIPLEY JESUS MARIA</t>
  </si>
  <si>
    <t>RIPLEY PURUCHUCO</t>
  </si>
  <si>
    <t>RIPLEY SAN ISIDRO_SN</t>
  </si>
  <si>
    <t>LAMBAYEQUE / CAJAMARCA</t>
  </si>
  <si>
    <t xml:space="preserve">ACHA AGURTO LESLIE DENISS </t>
  </si>
  <si>
    <t>HMETRO CHICL3SN</t>
  </si>
  <si>
    <t>MIGUEL LOO  SANCHEZ</t>
  </si>
  <si>
    <t>HMETRO CHICL4SN</t>
  </si>
  <si>
    <t>SAGA CHICLAYO2SN</t>
  </si>
  <si>
    <t>PV LAMBAYEQUESN</t>
  </si>
  <si>
    <t>OECHSLE CHICLAYOSN</t>
  </si>
  <si>
    <t>CAD EFE JAEN</t>
  </si>
  <si>
    <t>ELEKTRA JAEN</t>
  </si>
  <si>
    <t>PLAZA VEA JAEN</t>
  </si>
  <si>
    <t>ESTILOS JAEN</t>
  </si>
  <si>
    <t>LAMBAYEQUE</t>
  </si>
  <si>
    <t>RIPLEY CHICLAYOSN</t>
  </si>
  <si>
    <t>CARSA CHICLAYOSN</t>
  </si>
  <si>
    <t>CAD EFE CHICLAYO2</t>
  </si>
  <si>
    <t>CAD EFE CHICLAYO</t>
  </si>
  <si>
    <t>CURACAO CHICLAYOSN</t>
  </si>
  <si>
    <t>CURACAO LAMBAYEQU_SN</t>
  </si>
  <si>
    <t>CURACAO PNUEVOSN</t>
  </si>
  <si>
    <t>TOTTUS CHICLASN</t>
  </si>
  <si>
    <t>TOTTUS CHICLAYO2_SN</t>
  </si>
  <si>
    <t>TOTTUS CHICLAYO1_SN</t>
  </si>
  <si>
    <t>MIRANDA TAVARA SUSANA SOLEDAD</t>
  </si>
  <si>
    <t>MARCIMEX SLLANA_SN</t>
  </si>
  <si>
    <t>PV SULLANA SN</t>
  </si>
  <si>
    <t>CARSA SULLSN</t>
  </si>
  <si>
    <t>CAD EFE SULLANA</t>
  </si>
  <si>
    <t>CURACAO PAITA_SN</t>
  </si>
  <si>
    <t>CURACAO SULLANA_SN</t>
  </si>
  <si>
    <t>TOTTUS SULLANASN</t>
  </si>
  <si>
    <t>PV PAITASN</t>
  </si>
  <si>
    <t>TOTTUS SULLANA 2</t>
  </si>
  <si>
    <t xml:space="preserve">ANCASH </t>
  </si>
  <si>
    <t>RONCAL ESPEJO ISSELA KATHERINE</t>
  </si>
  <si>
    <t>METRO NVOCHIMBOTESN</t>
  </si>
  <si>
    <t>RIPLEY CHIMBOTE</t>
  </si>
  <si>
    <t>SAGA CHIMBOTESN</t>
  </si>
  <si>
    <t>PV CHIMBOTESN</t>
  </si>
  <si>
    <t>PV SANTA SN</t>
  </si>
  <si>
    <t>CARSA CHIMBOTESN</t>
  </si>
  <si>
    <t>CARSA HUARAZSN</t>
  </si>
  <si>
    <t>CURACAO CHIMBOTESN</t>
  </si>
  <si>
    <t>CURACAO HUARAZ_SN</t>
  </si>
  <si>
    <t>TOTTUS CHIMBSN</t>
  </si>
  <si>
    <t>CAD EFE HUARAZ</t>
  </si>
  <si>
    <t>LA LIBERTAD</t>
  </si>
  <si>
    <t>VEREAU BOBADILLA OSWALDO DANIEL</t>
  </si>
  <si>
    <t>ESTILOS TRUJILLO_SN</t>
  </si>
  <si>
    <t>PLAZA VEA TRUJILLO</t>
  </si>
  <si>
    <t>OECHSLE TRUJILLOSN</t>
  </si>
  <si>
    <t>TOTTUS PACASMAYOSN</t>
  </si>
  <si>
    <t>TOTTUS CHEPEN</t>
  </si>
  <si>
    <t>EFE HUAMACHUCO2</t>
  </si>
  <si>
    <t>CURACAO PORVENIR_SN</t>
  </si>
  <si>
    <t>CAD EFE EL PORVENIR</t>
  </si>
  <si>
    <t>TOTTUS_TRUJ_CHACARERO</t>
  </si>
  <si>
    <t>PV TRUJILLO2SN</t>
  </si>
  <si>
    <t>ELEKTRA EL PORVENIR</t>
  </si>
  <si>
    <t>TALLEDO JUAREZ,DAVID JESUS</t>
  </si>
  <si>
    <t>METRO GRAU_SN</t>
  </si>
  <si>
    <t>RIPLEY PIURASN</t>
  </si>
  <si>
    <t>RIPLEY PIURA2SN</t>
  </si>
  <si>
    <t>SAGA PIURASN</t>
  </si>
  <si>
    <t>SAGA CASTILLASN</t>
  </si>
  <si>
    <t>PV PIURASN</t>
  </si>
  <si>
    <t>OECHSLE PIURASN</t>
  </si>
  <si>
    <t>CURACAO PIURA_SN</t>
  </si>
  <si>
    <t>TOTTUS PIURASN</t>
  </si>
  <si>
    <t>PV PIURA2</t>
  </si>
  <si>
    <t>CURACAO OPEN PIURA</t>
  </si>
  <si>
    <t>TOTTUS CHULUCANAS</t>
  </si>
  <si>
    <t>HIPER TOTTUS PIURA2</t>
  </si>
  <si>
    <t>TOTTUS_PARQUESPIU</t>
  </si>
  <si>
    <t>CAJAMARCA</t>
  </si>
  <si>
    <t>VASQUEZ SALAZAR JHONY MANUEL</t>
  </si>
  <si>
    <t>PARIS CAJAMARCASN</t>
  </si>
  <si>
    <t>HMETRO CAJM1SN</t>
  </si>
  <si>
    <t>SAGACAJAMARCASN</t>
  </si>
  <si>
    <t>CURACAO CAJAMARCA2</t>
  </si>
  <si>
    <t>PV CAJAMARCASN</t>
  </si>
  <si>
    <t>OECHSLE CAJAMARCA</t>
  </si>
  <si>
    <t>RIPLEY CAJAMARCA</t>
  </si>
  <si>
    <t>CAD EFE CAJAMARCA1</t>
  </si>
  <si>
    <t>CAD EFE CAJAMARCA2</t>
  </si>
  <si>
    <t>METRO CAJAMARCA2</t>
  </si>
  <si>
    <t>TOTTUS CAJAMARCA</t>
  </si>
  <si>
    <t>METRO TRUJILLO2SN</t>
  </si>
  <si>
    <t>RIPLEY TRUJILLOSN</t>
  </si>
  <si>
    <t>SAGA TRUJILLO2SN</t>
  </si>
  <si>
    <t>TOTTUS TRU JARDINSN</t>
  </si>
  <si>
    <t>TOTTUS TRUSN</t>
  </si>
  <si>
    <t>PARIS TRUJILLO</t>
  </si>
  <si>
    <t>ELEKTRA TRUJILLO</t>
  </si>
  <si>
    <t>CURACAO TRUJILLO_SN</t>
  </si>
  <si>
    <t>CARSA TRUJILLOSN</t>
  </si>
  <si>
    <t>CAD EFE TRUJILLO</t>
  </si>
  <si>
    <t>PIURA / TUMBES</t>
  </si>
  <si>
    <t>PV TALARASN</t>
  </si>
  <si>
    <t>CURACAO TALARASN</t>
  </si>
  <si>
    <t>CAD EFE TUMBES</t>
  </si>
  <si>
    <t>CURACAO TUMBESSN</t>
  </si>
  <si>
    <t>CAD EFE TALARA</t>
  </si>
  <si>
    <t>ELEKTRA TALARA</t>
  </si>
  <si>
    <t>PV PARIÑAS</t>
  </si>
  <si>
    <t>CURACAO COSTA TUMBES</t>
  </si>
  <si>
    <t>ESTILOS TUMBESSN</t>
  </si>
  <si>
    <t>PV TUMBES</t>
  </si>
  <si>
    <t>METRO TUMBESSN</t>
  </si>
  <si>
    <t>CENTRO</t>
  </si>
  <si>
    <t>UCAYALI</t>
  </si>
  <si>
    <t>DIEGO AMIAS RUIZ</t>
  </si>
  <si>
    <t>CARSA PUCALLPA_SN</t>
  </si>
  <si>
    <t>DANNY LLATAS FRIAS</t>
  </si>
  <si>
    <t>OECHSLE PUCALLPA</t>
  </si>
  <si>
    <t>PV UCAYALI</t>
  </si>
  <si>
    <t>RIPLEY PUCALLPA</t>
  </si>
  <si>
    <t>SAGA O UCAYALI_SN</t>
  </si>
  <si>
    <t>TOTTUS O UCAYALISN</t>
  </si>
  <si>
    <t>UNO PUCALLPA</t>
  </si>
  <si>
    <t>VARGAS PUCALLPASN</t>
  </si>
  <si>
    <t>AYACUCHO</t>
  </si>
  <si>
    <t>NATALI CARLA CSTAÑEDA  ALAZABAL</t>
  </si>
  <si>
    <t>CAD EFE AYACUCHO</t>
  </si>
  <si>
    <t>CURACAO AYACUCHOSN</t>
  </si>
  <si>
    <t>ELEKTRA AYACUCHO</t>
  </si>
  <si>
    <t>HUANUCO</t>
  </si>
  <si>
    <t xml:space="preserve">WESTREYCHER SILVA,RUTH GELEN </t>
  </si>
  <si>
    <t>CAD EFE RUPA</t>
  </si>
  <si>
    <t>CARSA HNUCO_SN</t>
  </si>
  <si>
    <t>CARSA HUANUCO</t>
  </si>
  <si>
    <t>CURACAO HUANUCO_SN</t>
  </si>
  <si>
    <t>CURACAO TINGOMARIA_SN</t>
  </si>
  <si>
    <t>ELEKTRA RUPA</t>
  </si>
  <si>
    <t>SAGA ORI HUANUCO</t>
  </si>
  <si>
    <t>TOTTUS ORI HUANUCO</t>
  </si>
  <si>
    <t>LIMA PROVINCIA</t>
  </si>
  <si>
    <t>HUACHO / LURIN</t>
  </si>
  <si>
    <t>MEJIA SALDARRIAGA SOFIA FELIX</t>
  </si>
  <si>
    <t>CARSA LURIN SN</t>
  </si>
  <si>
    <t>PUELLES ARANDA JESSICA ISABEL</t>
  </si>
  <si>
    <t>CURACAO HUACHOSN</t>
  </si>
  <si>
    <t>ELEKTRA HUACHO</t>
  </si>
  <si>
    <t>ELEKTRA LURIN</t>
  </si>
  <si>
    <t>ESTILOS HUACHOSN</t>
  </si>
  <si>
    <t>PV LURINSN</t>
  </si>
  <si>
    <t>TOTTUS HUACHO</t>
  </si>
  <si>
    <t>TOTTUS STA MARIA</t>
  </si>
  <si>
    <t>JUNIN</t>
  </si>
  <si>
    <t>NATALI CASTAÑEDA</t>
  </si>
  <si>
    <t>CAD EFE TARMA</t>
  </si>
  <si>
    <t>CARSA LA MERCED_SN</t>
  </si>
  <si>
    <t>CARSA TARM_SN</t>
  </si>
  <si>
    <t>CURACAO MERCED_SN</t>
  </si>
  <si>
    <t>CURACAO TARMA_SN</t>
  </si>
  <si>
    <t>ICA</t>
  </si>
  <si>
    <t>CRUCES MANSILLA LUZ CLEMENTINA</t>
  </si>
  <si>
    <t>CAD EFE CHINCHA ALTA</t>
  </si>
  <si>
    <t>CARSA CHINCHA SN</t>
  </si>
  <si>
    <t>CARSA PISCO2</t>
  </si>
  <si>
    <t>CURACAO PISCO_SN</t>
  </si>
  <si>
    <t>ELEKTRA CHINCHA ALTA</t>
  </si>
  <si>
    <t>ELEKTRA PISCO</t>
  </si>
  <si>
    <t>ESTILOS PISCO</t>
  </si>
  <si>
    <t>MARCIMEX PISCO2_SN</t>
  </si>
  <si>
    <t>CRUCES MANSILLA,LUZ CLEMENTINA</t>
  </si>
  <si>
    <t>METRO CHINCHASN</t>
  </si>
  <si>
    <t>PV CHINCHASN</t>
  </si>
  <si>
    <t>PV PISCO</t>
  </si>
  <si>
    <t>TOTTUS CHINCHASN</t>
  </si>
  <si>
    <t>LORETO / SAN MARTIN</t>
  </si>
  <si>
    <t xml:space="preserve">DELGADO LOPEZ CARLOS ALBERTO </t>
  </si>
  <si>
    <t>CAD EFE MOYOBAMBA</t>
  </si>
  <si>
    <t>CAD EFE TARAPOTO</t>
  </si>
  <si>
    <t>CAD EFE YURIMAGUAS</t>
  </si>
  <si>
    <t>CARSA JUANJUI_SN</t>
  </si>
  <si>
    <t>CARSA TARAPOTOSN</t>
  </si>
  <si>
    <t>CARSA YURIMAGSN</t>
  </si>
  <si>
    <t>CURACAO JUANJUI_SN</t>
  </si>
  <si>
    <t>CURACAO MOYOBA_SN</t>
  </si>
  <si>
    <t>CURACAO SMARTIN</t>
  </si>
  <si>
    <t>CURACAO TARAPOTO_SN</t>
  </si>
  <si>
    <t>CURACAO YURIMAGUAS_SN</t>
  </si>
  <si>
    <t>ELEKTRA TARAPOTO</t>
  </si>
  <si>
    <t>PLAZA VEA TARAPOTO</t>
  </si>
  <si>
    <t>TOTTUS ORI MOYO</t>
  </si>
  <si>
    <t>TOTTUS TARAPOTO</t>
  </si>
  <si>
    <t>VARGAS TARAPOTO_SN</t>
  </si>
  <si>
    <t>HUARAL / CAÑETE / CHOSICA/ASIA</t>
  </si>
  <si>
    <t>CAD EFE HUARAL</t>
  </si>
  <si>
    <t>CURACAO HUARALSN</t>
  </si>
  <si>
    <t>ELEKTRA HUARAL</t>
  </si>
  <si>
    <t>METRO CHACLASN</t>
  </si>
  <si>
    <t>METRO LURIGANCHOSN</t>
  </si>
  <si>
    <t>PV CHOSICASN</t>
  </si>
  <si>
    <t>PV HUARALSN</t>
  </si>
  <si>
    <t>SAGA CAÑETESN</t>
  </si>
  <si>
    <t>TOTTUS CAÑETESN</t>
  </si>
  <si>
    <t>WONG ASIA SN</t>
  </si>
  <si>
    <t>LEONARDO MUÑOZ MUÑOZ</t>
  </si>
  <si>
    <t>CAD EFE HYO2</t>
  </si>
  <si>
    <t>CURACAO HYO REAL_SN</t>
  </si>
  <si>
    <t>ELEKTRA HYO</t>
  </si>
  <si>
    <t>METRO HUANCAYO_SN</t>
  </si>
  <si>
    <t>OECHSLE HCAYOSN</t>
  </si>
  <si>
    <t>PV HUANCAYOSN</t>
  </si>
  <si>
    <t>SAGA HUANCAYO</t>
  </si>
  <si>
    <t>TOTTUS HUANCAYO</t>
  </si>
  <si>
    <t>RIPLEY JUNINSN</t>
  </si>
  <si>
    <t>LORETO</t>
  </si>
  <si>
    <t>PEREA DIAZ ARNOLD PIERO</t>
  </si>
  <si>
    <t>CAD EFE IQUITOS</t>
  </si>
  <si>
    <t>CARSA IQUITOS2_SN</t>
  </si>
  <si>
    <t>CARSA MAYNAS_SN</t>
  </si>
  <si>
    <t>CURACAO IQUITOS_SN</t>
  </si>
  <si>
    <t>ELEKTRA IQUITOS</t>
  </si>
  <si>
    <t>SAGA IQUITOS</t>
  </si>
  <si>
    <t>UNO IQUITOS</t>
  </si>
  <si>
    <t>VARGAS IQUITOS_SN</t>
  </si>
  <si>
    <t>PEREZ HUAYLLA NATALY NEVENKA</t>
  </si>
  <si>
    <t>CAD EFE ICA</t>
  </si>
  <si>
    <t>CAD EFE NAZCA</t>
  </si>
  <si>
    <t>CARSA ICA NUEVOSN</t>
  </si>
  <si>
    <t>CARSA NAZCA_SN</t>
  </si>
  <si>
    <t>CURACAO ICA_SN</t>
  </si>
  <si>
    <t>ELEKTRA ICA</t>
  </si>
  <si>
    <t>ESTILOS ICASN</t>
  </si>
  <si>
    <t>OECHSLE ICASN</t>
  </si>
  <si>
    <t>PARIS ICA_SN</t>
  </si>
  <si>
    <t>PV ICASN</t>
  </si>
  <si>
    <t>RIPLEY ICASN</t>
  </si>
  <si>
    <t>SAGA ICASN</t>
  </si>
  <si>
    <t>SODIMAC ICA2_SN</t>
  </si>
  <si>
    <t>TOTTUS ICASN</t>
  </si>
  <si>
    <t>UNO ICA</t>
  </si>
  <si>
    <t>UNO LA TINGUIÑA</t>
  </si>
  <si>
    <t>BARRANCA / HUACHO</t>
  </si>
  <si>
    <t>CAD EFE BARRANCA</t>
  </si>
  <si>
    <t>CAD EFE HUACHO</t>
  </si>
  <si>
    <t>CARSA BARRANCA_SN</t>
  </si>
  <si>
    <t>CURACAO BARRANCA_SN</t>
  </si>
  <si>
    <t>ELEKTRA BARRANCA</t>
  </si>
  <si>
    <t>METRO BARRANCASN</t>
  </si>
  <si>
    <t>OECHSLE BARRANCASN</t>
  </si>
  <si>
    <t>PV BARRANCASN</t>
  </si>
  <si>
    <t>PV HUACHOSN</t>
  </si>
  <si>
    <t>JUNIN / HUANCAVELICA</t>
  </si>
  <si>
    <t>CAD EFE HYO</t>
  </si>
  <si>
    <t>CARSA HYO_SN</t>
  </si>
  <si>
    <t>CURACAO HUANCAV_SN</t>
  </si>
  <si>
    <t>CURACAO HYO GIR._SN</t>
  </si>
  <si>
    <t>PV HYO_SN</t>
  </si>
  <si>
    <t>HUANUCO / PASCO</t>
  </si>
  <si>
    <t>CAD EFE CERRO DE PASCO</t>
  </si>
  <si>
    <t>CAD EFE HUANUCO</t>
  </si>
  <si>
    <t>CURACAO C.PASCO_SN</t>
  </si>
  <si>
    <t>CURACAO HUANUCO2_SN</t>
  </si>
  <si>
    <t>ELEKTRA HUANUCO</t>
  </si>
  <si>
    <t>OECHSLE HUANUCOSN</t>
  </si>
  <si>
    <t>PV HUANUCOSN</t>
  </si>
  <si>
    <t>UNO IQUITOS 2</t>
  </si>
  <si>
    <t>ESTADO</t>
  </si>
  <si>
    <t>EMPRESA</t>
  </si>
  <si>
    <t>CANT</t>
  </si>
  <si>
    <t>OVERALL</t>
  </si>
  <si>
    <t>AVISERVICE</t>
  </si>
  <si>
    <t>DIA</t>
  </si>
  <si>
    <t>COSTOS</t>
  </si>
  <si>
    <t>FECHA SISCAD</t>
  </si>
  <si>
    <t>FECHA SAP</t>
  </si>
  <si>
    <t xml:space="preserve"> MIRANDA RODRIGUEZ ALONSO</t>
  </si>
  <si>
    <t>GARCIA GODOS,GOMEZ LUIGI DAN</t>
  </si>
  <si>
    <t>GONZALES ALAYO,ANA CARLOTA</t>
  </si>
  <si>
    <t>LAURENT DIAZ,GUSTAVO ADOLFO</t>
  </si>
  <si>
    <t>LUNA VILLALOBOS,CARLOS ENRIQUE</t>
  </si>
  <si>
    <t>NUEVO</t>
  </si>
  <si>
    <t>Material</t>
  </si>
  <si>
    <t>Texto breve de material</t>
  </si>
  <si>
    <t>SISCAD</t>
  </si>
  <si>
    <t>SAP</t>
  </si>
  <si>
    <t>VALOR</t>
  </si>
  <si>
    <t>07012263</t>
  </si>
  <si>
    <t>07010707</t>
  </si>
  <si>
    <t>ROUTER FIJO PING L3311-E6 LTE</t>
  </si>
  <si>
    <t>07010706</t>
  </si>
  <si>
    <t>07012264</t>
  </si>
  <si>
    <t>ROUTER FIJO PING L3311-E6 LTE CLAR</t>
  </si>
  <si>
    <t>07012593</t>
  </si>
  <si>
    <t>ROUT FIJO HUAWEI B612 BL LTE INDOOR CLAR</t>
  </si>
  <si>
    <t>70016091</t>
  </si>
  <si>
    <t>TELEFONO FIJO INALAMBRICO ZTE WP659+BLAN</t>
  </si>
  <si>
    <t>70016090</t>
  </si>
  <si>
    <t>TEL FONO FIJO INAL MBRICO ZTE WP659+ NEG</t>
  </si>
  <si>
    <t>70026159</t>
  </si>
  <si>
    <t>APP IPHSE32GBSPGR GR PB LTE</t>
  </si>
  <si>
    <t>70024823</t>
  </si>
  <si>
    <t>HUA P10 NG GRAPHITE BLACK PB LTE</t>
  </si>
  <si>
    <t>70025918</t>
  </si>
  <si>
    <t>ALC MW41NF BL ROUTER PD LTE</t>
  </si>
  <si>
    <t>70025998</t>
  </si>
  <si>
    <t>ZTE MF920V BL PT LTE</t>
  </si>
  <si>
    <t>70026889</t>
  </si>
  <si>
    <t>TMC LOGIC FIXO100 NG PB</t>
  </si>
  <si>
    <t>70023583</t>
  </si>
  <si>
    <t>TMC LOGIC M6 NG PB</t>
  </si>
  <si>
    <t>70026485</t>
  </si>
  <si>
    <t>LG K4 LITEX230FV NG PB LTE</t>
  </si>
  <si>
    <t>70025917</t>
  </si>
  <si>
    <t>ALC MW41NF NG ROUTER PD LTE</t>
  </si>
  <si>
    <t>70028089</t>
  </si>
  <si>
    <t>TMC LOGICFIXO100G NG FIJO</t>
  </si>
  <si>
    <t>70023534</t>
  </si>
  <si>
    <t>AZU L3GA LITE II BL PB</t>
  </si>
  <si>
    <t>70029359</t>
  </si>
  <si>
    <t>NOK 3.1ESSENTIAL2 NG PB LTE</t>
  </si>
  <si>
    <t>70028450</t>
  </si>
  <si>
    <t>TMC B5G NG PB</t>
  </si>
  <si>
    <t>70027976</t>
  </si>
  <si>
    <t>MOT MOTOG6P64GXT AZ PB LTE</t>
  </si>
  <si>
    <t>70028628</t>
  </si>
  <si>
    <t>LG K9 32GBX210HM NG PB LTE</t>
  </si>
  <si>
    <t>70028155</t>
  </si>
  <si>
    <t>LG G7 G710EM NG PB LTE</t>
  </si>
  <si>
    <t>70027047</t>
  </si>
  <si>
    <t>ZTE BLADE V8 SE AZ PB LTE</t>
  </si>
  <si>
    <t>70028746</t>
  </si>
  <si>
    <t>AZU K5QL BL PB LTE</t>
  </si>
  <si>
    <t>70028744</t>
  </si>
  <si>
    <t>AZU K5QL NG PB LTE</t>
  </si>
  <si>
    <t>70031322</t>
  </si>
  <si>
    <t>ZTE MF920V BL OLO PB LTE</t>
  </si>
  <si>
    <t>70024284</t>
  </si>
  <si>
    <t>AZU IRO A5QL NG PB LTE</t>
  </si>
  <si>
    <t>70030822</t>
  </si>
  <si>
    <t>LG K4032GBX420HM GR PB LTE</t>
  </si>
  <si>
    <t>70030757</t>
  </si>
  <si>
    <t>MOT MOG7PL64XT196 AZ PB LTE</t>
  </si>
  <si>
    <t>70030755</t>
  </si>
  <si>
    <t>MOT MOG7P64XT1955 AZ PB LTE</t>
  </si>
  <si>
    <t>70029211</t>
  </si>
  <si>
    <t>SMG GXYJ2CORJ260M NG PB LTE</t>
  </si>
  <si>
    <t>70032151</t>
  </si>
  <si>
    <t>SMG GALAXYA2032GB NG PB LTE</t>
  </si>
  <si>
    <t>70030490</t>
  </si>
  <si>
    <t>HUA PSMART201964 NG PB LTE</t>
  </si>
  <si>
    <t>70031704</t>
  </si>
  <si>
    <t>SMG GXYA5064GA505 NG PB LTE</t>
  </si>
  <si>
    <t>70027975</t>
  </si>
  <si>
    <t>MOT E5 XT1944-3 GR PB LTE</t>
  </si>
  <si>
    <t>70030824</t>
  </si>
  <si>
    <t>LG K4032GBX420HM NG PB LTE</t>
  </si>
  <si>
    <t>70032214</t>
  </si>
  <si>
    <t>LG K50 LMX520HM NG PB LTE</t>
  </si>
  <si>
    <t>70032155</t>
  </si>
  <si>
    <t>ZTE BLADE A530 AZ PB LTE</t>
  </si>
  <si>
    <t>70028099</t>
  </si>
  <si>
    <t>ZTE BLADE A3 NG PB LTE</t>
  </si>
  <si>
    <t>70032216</t>
  </si>
  <si>
    <t>LG Q60 LMX525HA NG PB LTE</t>
  </si>
  <si>
    <t>70032234</t>
  </si>
  <si>
    <t>XIA REDMI NOTE 7 AZ PB LTE</t>
  </si>
  <si>
    <t>70031724</t>
  </si>
  <si>
    <t>XIA REDMI NOTE 7 NG PB LTE</t>
  </si>
  <si>
    <t>70032555</t>
  </si>
  <si>
    <t>HUA PSMART201964 NG PB PR SPEAKER MC510</t>
  </si>
  <si>
    <t>70032404</t>
  </si>
  <si>
    <t>MOT ONEVISXT19702 AZ PB LTE</t>
  </si>
  <si>
    <t>70032326</t>
  </si>
  <si>
    <t>HUA Y5 2019 NG PB LTE</t>
  </si>
  <si>
    <t>70032927</t>
  </si>
  <si>
    <t>SMG GXYA30S64A307 NG PB LTE</t>
  </si>
  <si>
    <t>70032974</t>
  </si>
  <si>
    <t>MOT MOTOE6PLUS GF PB LTE</t>
  </si>
  <si>
    <t>70032222</t>
  </si>
  <si>
    <t>LG K20 LMX120HM NG PB LTE</t>
  </si>
  <si>
    <t>70025831</t>
  </si>
  <si>
    <t>MOT MOTO G5XT1670 GF PB LTE</t>
  </si>
  <si>
    <t>70032324</t>
  </si>
  <si>
    <t>HUA Y5 2019 AZ PB LTE</t>
  </si>
  <si>
    <t>70032220</t>
  </si>
  <si>
    <t>LG K50 LMX520HM PL PB LTE</t>
  </si>
  <si>
    <t>70031246</t>
  </si>
  <si>
    <t>HUA P30 LITE NG PB LTE</t>
  </si>
  <si>
    <t>70032976</t>
  </si>
  <si>
    <t>MOT MOTG8PLXT2015 GR PB LTE</t>
  </si>
  <si>
    <t>70032851</t>
  </si>
  <si>
    <t>SMG GXYA50128A505 NG PB LTE</t>
  </si>
  <si>
    <t>70032236</t>
  </si>
  <si>
    <t>XIA MI 9 NG PB LTE</t>
  </si>
  <si>
    <t>70032238</t>
  </si>
  <si>
    <t>NOK 3.1  PLUS 16G GR PB LTE</t>
  </si>
  <si>
    <t>70030600</t>
  </si>
  <si>
    <t>HUA Y6 2019 AZ PB LTE</t>
  </si>
  <si>
    <t>70032929</t>
  </si>
  <si>
    <t>SMG GXYA20S32A207 NG PB LTE</t>
  </si>
  <si>
    <t>70032981</t>
  </si>
  <si>
    <t>ZTE BLADE A7 2019 NG PB LTE</t>
  </si>
  <si>
    <t>70032931</t>
  </si>
  <si>
    <t>SMG GXYA10S32A107 NG PB LTE</t>
  </si>
  <si>
    <t>70033328</t>
  </si>
  <si>
    <t>HUA Y9 PRIME 2019 NG PB LTE</t>
  </si>
  <si>
    <t>70032991</t>
  </si>
  <si>
    <t>MOT MOTG8PXT20192 AZ PB LTE</t>
  </si>
  <si>
    <t>70032982</t>
  </si>
  <si>
    <t>ZTE BLADE A7 2019 AZ PB LTE</t>
  </si>
  <si>
    <t>70030599</t>
  </si>
  <si>
    <t>HUA Y6 2019 NG PB LTE</t>
  </si>
  <si>
    <t>70030491</t>
  </si>
  <si>
    <t>HUA PSMART201964 AZ PB LTE</t>
  </si>
  <si>
    <t>70032463</t>
  </si>
  <si>
    <t>SMG GALNOTE10PLUS NG PB LTE</t>
  </si>
  <si>
    <t>70033795</t>
  </si>
  <si>
    <t>HUA NOVA 5T 128GB NG PB LTE</t>
  </si>
  <si>
    <t>70024335</t>
  </si>
  <si>
    <t>APP IPH 7 32GB BL NG PB LTE</t>
  </si>
  <si>
    <t>70026698</t>
  </si>
  <si>
    <t>APP IPH8 64GB SPG GR PB LTE</t>
  </si>
  <si>
    <t>70033895</t>
  </si>
  <si>
    <t>XIA REDMINOT864GB BL PB LTE</t>
  </si>
  <si>
    <t>70034103</t>
  </si>
  <si>
    <t>HUA B612-533 BL ROUTER</t>
  </si>
  <si>
    <t>70034307</t>
  </si>
  <si>
    <t>LG K40S LMX430HM NG PB LTE</t>
  </si>
  <si>
    <t>70033821</t>
  </si>
  <si>
    <t>ZTE BLADEVSM128GB NG PB LTE</t>
  </si>
  <si>
    <t>70031248</t>
  </si>
  <si>
    <t>HUA P30 LITE AZ PB LTE</t>
  </si>
  <si>
    <t>70034464</t>
  </si>
  <si>
    <t>HUA Y9S NG PB PR BAND4</t>
  </si>
  <si>
    <t>70034308</t>
  </si>
  <si>
    <t>LG K50S LMX540HM NG PB LTE</t>
  </si>
  <si>
    <t>70034389</t>
  </si>
  <si>
    <t>HUA NOVA 5T 128GB NG PB PR SPEAKER AM08</t>
  </si>
  <si>
    <t>70034167</t>
  </si>
  <si>
    <t>SMG GXYA51128A515 NG PB LTE</t>
  </si>
  <si>
    <t>70034467</t>
  </si>
  <si>
    <t>SMG GXYA30S64A307 NG PB PR PACK NICKELOD</t>
  </si>
  <si>
    <t>70033330</t>
  </si>
  <si>
    <t>HUA Y9 PRIME 2019 VR PB LTE</t>
  </si>
  <si>
    <t>70034305</t>
  </si>
  <si>
    <t>ZTE BLADE A5 2020 AZ PB LTE</t>
  </si>
  <si>
    <t>70034618</t>
  </si>
  <si>
    <t>ZTE BLADEVSM128GB NG PB PR ECOPACK</t>
  </si>
  <si>
    <t>70033796</t>
  </si>
  <si>
    <t>HUA NOVA 5T 128GB AZ PB LTE</t>
  </si>
  <si>
    <t>70034166</t>
  </si>
  <si>
    <t>SMG GXA71128A715F NG PB LTE</t>
  </si>
  <si>
    <t>70032224</t>
  </si>
  <si>
    <t>LG G8STHLMG810EA AZ PB LTE</t>
  </si>
  <si>
    <t>70031585</t>
  </si>
  <si>
    <t>HUA P30 PRO 256GB BL PB LTE</t>
  </si>
  <si>
    <t>70034751</t>
  </si>
  <si>
    <t>HUA P30 LITE NG PB PR ECOPACK</t>
  </si>
  <si>
    <t>70034752</t>
  </si>
  <si>
    <t>HUA P30 LITE AZ PB PR ECOPACK</t>
  </si>
  <si>
    <t>70034770</t>
  </si>
  <si>
    <t>HUA P30 LITE 256G NG PB LTE</t>
  </si>
  <si>
    <t>70030211</t>
  </si>
  <si>
    <t>LOG LOGIC X4 PLUS NG PB</t>
  </si>
  <si>
    <t>70029008</t>
  </si>
  <si>
    <t>APP IPH XR 64G BL NG PB LTE</t>
  </si>
  <si>
    <t>70034257</t>
  </si>
  <si>
    <t>HUA Y9S NG PB LTE</t>
  </si>
  <si>
    <t>70033156</t>
  </si>
  <si>
    <t>APP IPH1164GBLACK NG PB LTE</t>
  </si>
  <si>
    <t>70034258</t>
  </si>
  <si>
    <t>HUA Y9S BL PB LTE</t>
  </si>
  <si>
    <t>70034306</t>
  </si>
  <si>
    <t>HUA NOVA 5T 128GB MR PB LTE</t>
  </si>
  <si>
    <t>70034121</t>
  </si>
  <si>
    <t>ZTE BLADE A5 2020 NG PB LTE</t>
  </si>
  <si>
    <t>70032402</t>
  </si>
  <si>
    <t>HUA P30 PRO 256GB AB PB LTE</t>
  </si>
  <si>
    <t>70034995</t>
  </si>
  <si>
    <t>MOT E6S XT2053-2 AZ PB LTE</t>
  </si>
  <si>
    <t>70033157</t>
  </si>
  <si>
    <t>APP IPH1164GPURPL VT PB LTE</t>
  </si>
  <si>
    <t>70034784</t>
  </si>
  <si>
    <t>SMG GS10L128G770F NG PB PR PACK VERANO</t>
  </si>
  <si>
    <t>70032218</t>
  </si>
  <si>
    <t>LG G8STHLMG810EA NG PB LTE</t>
  </si>
  <si>
    <t>70035204</t>
  </si>
  <si>
    <t>HUA Y8S 64GB NG PB PR AUDFHU AM61</t>
  </si>
  <si>
    <t>70035184</t>
  </si>
  <si>
    <t>HUA P40 LITE 128G NG PB LTE ADV</t>
  </si>
  <si>
    <t>70033884</t>
  </si>
  <si>
    <t>SMG GALNOTE10PLUS AG PB PR AUDAKGY500</t>
  </si>
  <si>
    <t>70030608</t>
  </si>
  <si>
    <t>SMG GXS10P128G975 NG PB LTE</t>
  </si>
  <si>
    <t>70035996</t>
  </si>
  <si>
    <t>HUA Y6P 64GB NG PB LTE</t>
  </si>
  <si>
    <t>70035997</t>
  </si>
  <si>
    <t>HUA Y6P 64GB VR PB LTE</t>
  </si>
  <si>
    <t>70035205</t>
  </si>
  <si>
    <t>HUA Y8S 64GB VR PB PR AUDFHU AM61</t>
  </si>
  <si>
    <t>70034641</t>
  </si>
  <si>
    <t>MOT MG8PL64XT2055 AZ PB LTE</t>
  </si>
  <si>
    <t>70034772</t>
  </si>
  <si>
    <t>HUA Y8S 64GB VR PB LTE</t>
  </si>
  <si>
    <t>70034769</t>
  </si>
  <si>
    <t>HUA Y8S 64GB NG PB LTE</t>
  </si>
  <si>
    <t>70032600</t>
  </si>
  <si>
    <t>NOK 3.1  PLUS 16G GR PB PR MEMORY SD</t>
  </si>
  <si>
    <t>70034750</t>
  </si>
  <si>
    <t>SMG GS10L128G770F NG PB LTE</t>
  </si>
  <si>
    <t>70034771</t>
  </si>
  <si>
    <t>HUA P30 LITE 256G BL PB LTE</t>
  </si>
  <si>
    <t>70016397</t>
  </si>
  <si>
    <t>ZTE A460 LTE BLANCO PB</t>
  </si>
  <si>
    <t>70036041</t>
  </si>
  <si>
    <t>HUA Y6P 64GB NG PB PRPARLABTCM510</t>
  </si>
  <si>
    <t>70035936</t>
  </si>
  <si>
    <t>LG K41S32LMK410H TT PB LTE ADV</t>
  </si>
  <si>
    <t>70034744</t>
  </si>
  <si>
    <t>ZTE BLADE A7 2020 AZ PB LTE</t>
  </si>
  <si>
    <t>70036005</t>
  </si>
  <si>
    <t>HUA Y8P 128GB NG PB LTE</t>
  </si>
  <si>
    <t>70033158</t>
  </si>
  <si>
    <t>APP IPH1164GWHITE BL PB LTE</t>
  </si>
  <si>
    <t>70034553</t>
  </si>
  <si>
    <t>ZTE BLADEVSM128GB NG PB PR SPEAKER HY-22</t>
  </si>
  <si>
    <t>70034745</t>
  </si>
  <si>
    <t>ZTE BLADE A7 2020 NG PB LTE</t>
  </si>
  <si>
    <t>70035938</t>
  </si>
  <si>
    <t>HUA Y8P 128GB LU PB LTE</t>
  </si>
  <si>
    <t>70036335</t>
  </si>
  <si>
    <t>HUA Y8P 128GB NG PB PR BAND 4</t>
  </si>
  <si>
    <t>70036336</t>
  </si>
  <si>
    <t>HUA Y8P 128GB LU PB PR BAND 4</t>
  </si>
  <si>
    <t>70036360</t>
  </si>
  <si>
    <t>SMG GS10L128G770F NG PB PR GAMEPADQXGLAP</t>
  </si>
  <si>
    <t>70034897</t>
  </si>
  <si>
    <t>SMG GXA31128A315G NG PB LTE</t>
  </si>
  <si>
    <t>70036201</t>
  </si>
  <si>
    <t>SMG GXYA1164A115M NG PB LTE</t>
  </si>
  <si>
    <t>70036210</t>
  </si>
  <si>
    <t>SMG GXA21S64A217M NG PB LTE</t>
  </si>
  <si>
    <t>70036269</t>
  </si>
  <si>
    <t>HUA Y8P 128GB LU PB PR SELFIETRIPAF15</t>
  </si>
  <si>
    <t>70036266</t>
  </si>
  <si>
    <t>HUA Y6P 64GB NG PB PR SELFIETRIPAF15</t>
  </si>
  <si>
    <t>70036268</t>
  </si>
  <si>
    <t>HUA Y8P 128GB NG PB PR SELFIETRIPAF15</t>
  </si>
  <si>
    <t>70036375</t>
  </si>
  <si>
    <t>SMG GXYA0132GA015 NG PB LTE</t>
  </si>
  <si>
    <t>70036094</t>
  </si>
  <si>
    <t>XIA REDMI 9 64GB GR PB LTE</t>
  </si>
  <si>
    <t>70035912</t>
  </si>
  <si>
    <t>XIA REDMINOTE9128 VR PB LTE</t>
  </si>
  <si>
    <t>70036095</t>
  </si>
  <si>
    <t>XIA REDMINOTE9128 GR PB LTE</t>
  </si>
  <si>
    <t>70035194</t>
  </si>
  <si>
    <t>HUA P40 LITE 128G VR LTE ADV</t>
  </si>
  <si>
    <t>70030933</t>
  </si>
  <si>
    <t>SMG GXYA3032GA305 NG PB LTE</t>
  </si>
  <si>
    <t>70032257</t>
  </si>
  <si>
    <t>XIA REDMI 7 NG PB LTE</t>
  </si>
  <si>
    <t>70028630</t>
  </si>
  <si>
    <t>LG K9 32GBX210HM AZ PB LTE</t>
  </si>
  <si>
    <t>70027924</t>
  </si>
  <si>
    <t>MOT MOTG6PXT19224 AZ PB LTE</t>
  </si>
  <si>
    <t>70030745</t>
  </si>
  <si>
    <t>HUA Y7 2019 NG PB LTE</t>
  </si>
  <si>
    <t>70025668</t>
  </si>
  <si>
    <t>LG G6 H870 NG PB LTE</t>
  </si>
  <si>
    <t>70028474</t>
  </si>
  <si>
    <t>ZTE BLADE A3 PL PB LTE</t>
  </si>
  <si>
    <t>70026718</t>
  </si>
  <si>
    <t>LG STYLUS3 M400F TT TITAN PB SPLTE</t>
  </si>
  <si>
    <t>70032550</t>
  </si>
  <si>
    <t>SMG GALNOTE10256G NG PB PR CARGAWRLS</t>
  </si>
  <si>
    <t>70029424</t>
  </si>
  <si>
    <t>NOK NOKIA 2.1 AZ PB LTE</t>
  </si>
  <si>
    <t>70029983</t>
  </si>
  <si>
    <t>SMG GXYA764GA750G NG PB LTE</t>
  </si>
  <si>
    <t>70031253</t>
  </si>
  <si>
    <t>SMG GALAXYA1032GB NG PB LTE</t>
  </si>
  <si>
    <t>70030820</t>
  </si>
  <si>
    <t>LG G7 FIT Q850EA NG PB LTE</t>
  </si>
  <si>
    <t>70029304</t>
  </si>
  <si>
    <t>ALC 1X 5059A NG PB LTE</t>
  </si>
  <si>
    <t>70030604</t>
  </si>
  <si>
    <t>SMG GXS10E128970F NG PB LTE</t>
  </si>
  <si>
    <t>70023344</t>
  </si>
  <si>
    <t>ALC OT-5056P4P PL PB LTE POP 4 PLUS</t>
  </si>
  <si>
    <t>70028209</t>
  </si>
  <si>
    <t>HUA Y5 2018 NG PB LTE</t>
  </si>
  <si>
    <t>70028415</t>
  </si>
  <si>
    <t>SMG GLXJ2P16J250M NG PB LTE</t>
  </si>
  <si>
    <t>70028490</t>
  </si>
  <si>
    <t>LG QSTYP64Q710FA NG PB LTE</t>
  </si>
  <si>
    <t>70026178</t>
  </si>
  <si>
    <t>HTC DESIRE 650 GR PB LTE EMOJI</t>
  </si>
  <si>
    <t>70030606</t>
  </si>
  <si>
    <t>SMG GXYS10128G973 NG PB LTE</t>
  </si>
  <si>
    <t>70031443</t>
  </si>
  <si>
    <t>HUA P30 128GB BL PB LTE</t>
  </si>
  <si>
    <t>70025670</t>
  </si>
  <si>
    <t>LG G6 H870 PL PLATINIUM PB LTE</t>
  </si>
  <si>
    <t>70028073</t>
  </si>
  <si>
    <t>LG K11PLUSX410FC NG PB LTE</t>
  </si>
  <si>
    <t>70031482</t>
  </si>
  <si>
    <t>HUA P30 128GB NG PB LTE</t>
  </si>
  <si>
    <t>70033894</t>
  </si>
  <si>
    <t>XIA REDMINOT864GB NG PB LTE</t>
  </si>
  <si>
    <t>70033822</t>
  </si>
  <si>
    <t>ZTE BLADEVSM128GB RJ PB LTE</t>
  </si>
  <si>
    <t>70033312</t>
  </si>
  <si>
    <t>LG K4032GBX420HM NG PB PR PARLANTEPERÚ</t>
  </si>
  <si>
    <t>70033914</t>
  </si>
  <si>
    <t>SMG GXS10P128G975 NG PB PRCOVER MARVEL</t>
  </si>
  <si>
    <t>70034620</t>
  </si>
  <si>
    <t>XIA REDMI 7 NG PB PR ECOPACK</t>
  </si>
  <si>
    <t>70034621</t>
  </si>
  <si>
    <t>LG K50 LMX520HM NG PB PR ECOPACK</t>
  </si>
  <si>
    <t>70034619</t>
  </si>
  <si>
    <t>MOT MOTG8PLXT2015 GR PB PR ECOPACK</t>
  </si>
  <si>
    <t>70028154</t>
  </si>
  <si>
    <t>LG K11PLUSX410FC AZ PB LTE</t>
  </si>
  <si>
    <t>70023523</t>
  </si>
  <si>
    <t>AZU L3GA LITE II NG PB</t>
  </si>
  <si>
    <t>70032494</t>
  </si>
  <si>
    <t>SMG GXA80128A805F NG PB PR GALAXI FIT</t>
  </si>
  <si>
    <t>70026180</t>
  </si>
  <si>
    <t>TMC LOGIC L5D NG PB LTE</t>
  </si>
  <si>
    <t>70032153</t>
  </si>
  <si>
    <t>ZTE BLADE A530 NG PB LTE</t>
  </si>
  <si>
    <t>70032244</t>
  </si>
  <si>
    <t>SMG GXA80128A805F NG PB LTE</t>
  </si>
  <si>
    <t>70028125</t>
  </si>
  <si>
    <t>LG G7 G710EM AZ PB LTE</t>
  </si>
  <si>
    <t>70027614</t>
  </si>
  <si>
    <t>HTC U11 LIFE AZ PB LTE</t>
  </si>
  <si>
    <t>70027785</t>
  </si>
  <si>
    <t>TMC LOGIC B3G NG PB</t>
  </si>
  <si>
    <t>70023071</t>
  </si>
  <si>
    <t>SMG GLXS7E32G935F NG PB LTE S7 EDG</t>
  </si>
  <si>
    <t>70024846</t>
  </si>
  <si>
    <t>LG K8 2017 X240F AZ INDIG PB LTE</t>
  </si>
  <si>
    <t>70026494</t>
  </si>
  <si>
    <t>HTC U11 NG PB LTE</t>
  </si>
  <si>
    <t>70031250</t>
  </si>
  <si>
    <t>HUA P30 PRO 256GB AU PB LTE</t>
  </si>
  <si>
    <t>ROUTER FIJ ZTE WF821 LTEINDOOR CPE CLAR</t>
  </si>
  <si>
    <t>ROUTER MOVIL PING L6600-X8 LTE</t>
  </si>
  <si>
    <t>07009619</t>
  </si>
  <si>
    <t>07007457</t>
  </si>
  <si>
    <t>07013740</t>
  </si>
  <si>
    <t>07007906</t>
  </si>
  <si>
    <t>07007446</t>
  </si>
  <si>
    <t>07011909</t>
  </si>
  <si>
    <t>07009876</t>
  </si>
  <si>
    <t>07005535</t>
  </si>
  <si>
    <t>07014610</t>
  </si>
  <si>
    <t>07009875</t>
  </si>
  <si>
    <t>07001119</t>
  </si>
  <si>
    <t>07007435</t>
  </si>
  <si>
    <t>07005537</t>
  </si>
  <si>
    <t>07005548</t>
  </si>
  <si>
    <t>07009880</t>
  </si>
  <si>
    <t>07009867</t>
  </si>
  <si>
    <t>07010654</t>
  </si>
  <si>
    <t>07009866</t>
  </si>
  <si>
    <t>07009868</t>
  </si>
  <si>
    <t>07007456</t>
  </si>
  <si>
    <t>07001138</t>
  </si>
  <si>
    <t>07001161</t>
  </si>
  <si>
    <t>07001132</t>
  </si>
  <si>
    <t>07007445</t>
  </si>
  <si>
    <t>07001120</t>
  </si>
  <si>
    <t>07001122</t>
  </si>
  <si>
    <t>07001123</t>
  </si>
  <si>
    <t>07007451</t>
  </si>
  <si>
    <t>07005547</t>
  </si>
  <si>
    <t>07001136</t>
  </si>
  <si>
    <t>07001131</t>
  </si>
  <si>
    <t>07001145</t>
  </si>
  <si>
    <t>SIM CARD VIRGEN 256KB VOLTE 2FF-3FF-4FF</t>
  </si>
  <si>
    <t>PACK SIM CARD TELEFONO FIJO 64KB</t>
  </si>
  <si>
    <t>TARJETA SIM CARD IFI ALTA</t>
  </si>
  <si>
    <t>PACK SIM CARD 256KB PRE V 2FF 3FF 4FF SL</t>
  </si>
  <si>
    <t>P SIM CARD PREP 256KB LTE 2FF 3FF 4FF SN</t>
  </si>
  <si>
    <t>TARJETA SIM CARD INTERNET FIJO - ALTA</t>
  </si>
  <si>
    <t>PSIMCARD 256KB V PRE V 2FF3FF4FFSL</t>
  </si>
  <si>
    <t>PACK SIM CARD POST 256KB LTE 2FF 3FF 4FF</t>
  </si>
  <si>
    <t>TARJETA SIM CARD 2FF/3FF 256KB IFI ALTA</t>
  </si>
  <si>
    <t>P SIMCARD REPU PRE 256KB V 2FF3FF4FF</t>
  </si>
  <si>
    <t>PACK SIM CARD 128KB PRE V 2FF 3FF 4FF SL</t>
  </si>
  <si>
    <t>P SIM CARD PORTAB 256KB LTE 2FF 3FF 4FF</t>
  </si>
  <si>
    <t>PACK SIMCARD 128KB PRE VIRGEN SN SUELTO</t>
  </si>
  <si>
    <t>PACK SIM CARD REPU POSTP LTE 2FF 3FF 4FF</t>
  </si>
  <si>
    <t>P SIMCARD POST 256KB V LTE 2FF3FF4FF</t>
  </si>
  <si>
    <t>P SIMCARD PORTAB 256KB V 2FF 3FF 4FF</t>
  </si>
  <si>
    <t>SIM OLO 64K LTE</t>
  </si>
  <si>
    <t>P SIMCARD PREP 256KB V 2FF 3FF 4FF SN</t>
  </si>
  <si>
    <t>P SIM CARD REPU POSTP V 2FF 3FF 4FF</t>
  </si>
  <si>
    <t>PACK SIM CARD 64KB POSTPAGO TELEF FIJA</t>
  </si>
  <si>
    <t>PACK SIM CARD 128KB 3G</t>
  </si>
  <si>
    <t>PACK SIM CARD PREPAGO 128KB SIN NUMERO</t>
  </si>
  <si>
    <t>PACK SIMCARD 128KB PRE VIRGEN 2FF 3FF S</t>
  </si>
  <si>
    <t>PACK SIM CARD POSTPAGO 256KB LTE 2FF 3FF</t>
  </si>
  <si>
    <t>PACK SIM CARD PRE 128KB 2FF 3FF 4FF SN</t>
  </si>
  <si>
    <t>PACK SIM CARD PREPAGO 128KB 3FF</t>
  </si>
  <si>
    <t>PACK SIM CARD POSTPAGO 128KB 3FF</t>
  </si>
  <si>
    <t>P SIM CARD REPU PREPAG 256KB LTE 2FF 3FF</t>
  </si>
  <si>
    <t>PACK SIM CARD PORTABILID 128KB</t>
  </si>
  <si>
    <t>PACK SIM CARD POSTPAGO 128KB</t>
  </si>
  <si>
    <t>PACK SIM CARD PREPAGO 128KB 2FF 3FF SN</t>
  </si>
  <si>
    <t>PACK SIM CARD POSTPAGO 128KB 2FF 3FF</t>
  </si>
  <si>
    <t>SOBRANTE</t>
  </si>
  <si>
    <t>CRUCE_SERIES</t>
  </si>
  <si>
    <t>MATERIAL2</t>
  </si>
  <si>
    <t>MATERIAL1</t>
  </si>
  <si>
    <t>MES</t>
  </si>
  <si>
    <t>MOTIVO</t>
  </si>
  <si>
    <t>MOTIVO_CARTA</t>
  </si>
  <si>
    <t>EstadoCarta</t>
  </si>
  <si>
    <t>GUIA NO CONCILIADA</t>
  </si>
  <si>
    <t>TRASLADO</t>
  </si>
  <si>
    <t>VENTA_SISCAD</t>
  </si>
  <si>
    <t>CANJE</t>
  </si>
  <si>
    <t>MOTIVO DE CARTA</t>
  </si>
  <si>
    <t>DAÑO C/A</t>
  </si>
  <si>
    <t>DAÑO C/DOA</t>
  </si>
  <si>
    <t>FALTANTE DE INVENTARIO</t>
  </si>
  <si>
    <t>NEGLIGENCIA DE PROMOTOR</t>
  </si>
  <si>
    <t>SINIESTROS</t>
  </si>
  <si>
    <t>FRAUDE</t>
  </si>
  <si>
    <t>MOTIVO DE DESCUENTO</t>
  </si>
  <si>
    <t>SUB-MOTIVO</t>
  </si>
  <si>
    <t>ACCESORIO_FALTANTE</t>
  </si>
  <si>
    <t>MAL_ESTADO</t>
  </si>
  <si>
    <t>DESVALORIZADO</t>
  </si>
  <si>
    <t>DOA NO REPORTADO</t>
  </si>
  <si>
    <t>CRUCE_DE_SERIES</t>
  </si>
  <si>
    <t>EQUIPO MANIPULADO</t>
  </si>
  <si>
    <t>TRAFICO</t>
  </si>
  <si>
    <t>MALA VENTA</t>
  </si>
  <si>
    <t>VENTA NO DESCARGADA</t>
  </si>
  <si>
    <t>EQUIPO NO ENTREGADO</t>
  </si>
  <si>
    <t>EQUIPO CON PATRON</t>
  </si>
  <si>
    <t>EQUIPO CON CUENTA</t>
  </si>
  <si>
    <t>EQUIPO_ADULTERADO</t>
  </si>
  <si>
    <t>VENTA_FRAUDULENTA</t>
  </si>
  <si>
    <t>TECNICO</t>
  </si>
  <si>
    <t>ESTICO</t>
  </si>
  <si>
    <t>FALTANTE REAL</t>
  </si>
  <si>
    <t>MAL ESTADO</t>
  </si>
  <si>
    <t>BUEN ESTADO</t>
  </si>
  <si>
    <t>VENDIDO EN SISCAD</t>
  </si>
  <si>
    <t>SUB MOTIVO</t>
  </si>
  <si>
    <t>GUIA _BASTEIMEINTO</t>
  </si>
  <si>
    <t>SERIE / NUMERO SERIE</t>
  </si>
  <si>
    <t>FECHA_INGRESO / CREADO</t>
  </si>
  <si>
    <t>T.ART / CODIGO</t>
  </si>
  <si>
    <t>CONVERTIR_MATERIAL</t>
  </si>
  <si>
    <t>MODELO / TEXTO DE MATERIAL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</si>
</sst>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S/&quot;* #,##0.00_-;\-&quot;S/&quot;* #,##0.00_-;_-&quot;S/&quot;* &quot;-&quot;??_-;_-@_-"/>
    <numFmt numFmtId="165" formatCode="&quot;S/&quot;#,##0.00"/>
  </numFmts>
  <fonts count="17" x14ac:knownFonts="1">
    <font>
      <sz val="11"/>
      <color theme="1"/>
      <name val="Calibri"/>
      <family val="2"/>
      <scheme val="minor"/>
    </font>
    <font>
      <sz val="8"/>
      <color rgb="FFFFFFFF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8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color rgb="FFFFC000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37609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 applyFill="1" applyBorder="1" applyAlignment="1">
      <alignment horizontal="left" vertical="center"/>
    </xf>
    <xf numFmtId="0" fontId="4" fillId="0" borderId="0" xfId="0" applyFont="1" applyFill="1" applyBorder="1"/>
    <xf numFmtId="0" fontId="1" fillId="3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0" fontId="2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NumberFormat="1"/>
    <xf numFmtId="0" fontId="7" fillId="6" borderId="1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0" fontId="3" fillId="0" borderId="1" xfId="0" applyFont="1" applyBorder="1"/>
    <xf numFmtId="0" fontId="3" fillId="0" borderId="1" xfId="0" applyFont="1" applyBorder="1" applyAlignment="1">
      <alignment vertical="center"/>
    </xf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2" xfId="1" applyFont="1" applyBorder="1" applyAlignment="1">
      <alignment horizontal="center"/>
    </xf>
    <xf numFmtId="0" fontId="10" fillId="0" borderId="2" xfId="0" applyFont="1" applyBorder="1"/>
    <xf numFmtId="0" fontId="11" fillId="0" borderId="0" xfId="0" applyFont="1" applyFill="1" applyBorder="1" applyAlignment="1">
      <alignment horizontal="center" vertical="center"/>
    </xf>
    <xf numFmtId="0" fontId="7" fillId="7" borderId="0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/>
    </xf>
    <xf numFmtId="0" fontId="3" fillId="0" borderId="2" xfId="0" applyFont="1" applyBorder="1" applyAlignment="1">
      <alignment vertical="center"/>
    </xf>
    <xf numFmtId="0" fontId="10" fillId="0" borderId="1" xfId="0" applyFont="1" applyBorder="1"/>
    <xf numFmtId="0" fontId="7" fillId="2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165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7" fillId="7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0" fillId="0" borderId="0" xfId="0"/>
    <xf numFmtId="0" fontId="7" fillId="2" borderId="0" xfId="0" applyFont="1" applyFill="1" applyBorder="1" applyAlignment="1">
      <alignment horizontal="center" vertical="center"/>
    </xf>
    <xf numFmtId="14" fontId="2" fillId="0" borderId="0" xfId="0" applyNumberFormat="1" applyFont="1" applyBorder="1" applyAlignment="1">
      <alignment horizontal="center" vertical="center"/>
    </xf>
    <xf numFmtId="0" fontId="7" fillId="7" borderId="0" xfId="0" applyNumberFormat="1" applyFont="1" applyFill="1" applyBorder="1" applyAlignment="1">
      <alignment horizontal="center" vertical="center"/>
    </xf>
    <xf numFmtId="0" fontId="15" fillId="8" borderId="3" xfId="0" applyFont="1" applyFill="1" applyBorder="1"/>
    <xf numFmtId="0" fontId="0" fillId="9" borderId="3" xfId="0" applyFont="1" applyFill="1" applyBorder="1"/>
    <xf numFmtId="0" fontId="0" fillId="0" borderId="0" xfId="0" applyBorder="1"/>
  </cellXfs>
  <cellStyles count="2">
    <cellStyle name="Hipervínculo" xfId="1" builtinId="8"/>
    <cellStyle name="Normal" xfId="0" builtinId="0"/>
  </cellStyles>
  <dxfs count="60"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&quot;S/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164" formatCode="_-&quot;S/&quot;* #,##0.00_-;\-&quot;S/&quot;* #,##0.00_-;_-&quot;S/&quot;* &quot;-&quot;??_-;_-@_-"/>
    </dxf>
    <dxf>
      <numFmt numFmtId="19" formatCode="d/mm/yyyy"/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&quot;S/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z val="8"/>
      </font>
      <numFmt numFmtId="19" formatCode="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0" formatCode="General"/>
    </dxf>
    <dxf>
      <numFmt numFmtId="19" formatCode="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590550</xdr:colOff>
          <xdr:row>5</xdr:row>
          <xdr:rowOff>0</xdr:rowOff>
        </xdr:from>
        <xdr:to>
          <xdr:col>6</xdr:col>
          <xdr:colOff>933450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TRASPASAR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104775</xdr:rowOff>
        </xdr:from>
        <xdr:to>
          <xdr:col>7</xdr:col>
          <xdr:colOff>28575</xdr:colOff>
          <xdr:row>9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11</xdr:row>
          <xdr:rowOff>180975</xdr:rowOff>
        </xdr:from>
        <xdr:to>
          <xdr:col>7</xdr:col>
          <xdr:colOff>228600</xdr:colOff>
          <xdr:row>13</xdr:row>
          <xdr:rowOff>133350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INVENTARIO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295275</xdr:colOff>
          <xdr:row>4</xdr:row>
          <xdr:rowOff>47625</xdr:rowOff>
        </xdr:from>
        <xdr:to>
          <xdr:col>8</xdr:col>
          <xdr:colOff>0</xdr:colOff>
          <xdr:row>14</xdr:row>
          <xdr:rowOff>123825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GESTION DE AUDITORIA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590550</xdr:colOff>
          <xdr:row>9</xdr:row>
          <xdr:rowOff>171450</xdr:rowOff>
        </xdr:from>
        <xdr:to>
          <xdr:col>7</xdr:col>
          <xdr:colOff>38100</xdr:colOff>
          <xdr:row>11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TABLA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la4" displayName="Tabla4" ref="A1:E2" insertRow="1" totalsRowShown="0">
  <autoFilter ref="A1:E2"/>
  <tableColumns count="5">
    <tableColumn id="2" name="MODELO / TEXTO DE MATERIAL"/>
    <tableColumn id="3" name="SERIE / NUMERO SERIE"/>
    <tableColumn id="4" name="FECHA_INGRESO / CREADO" dataDxfId="59"/>
    <tableColumn id="5" name="T.ART / CODIGO"/>
    <tableColumn id="1" name="CONVERTIR_MATERIAL" dataDxfId="58">
      <calculatedColumnFormula>TEXT(Tabla4[[#This Row],[T.ART / CODIGO]],"00000000")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AUDITORIAS" displayName="AUDITORIAS" ref="A2:Y3" insertRow="1" totalsRowShown="0" headerRowDxfId="57" dataDxfId="56">
  <autoFilter ref="A2:Y3"/>
  <tableColumns count="25">
    <tableColumn id="20" name="EMPRESA" dataDxfId="55"/>
    <tableColumn id="21" name="CANT" dataDxfId="54"/>
    <tableColumn id="1" name="FECHA_INVENTARIO" dataDxfId="53"/>
    <tableColumn id="22" name="DIA" dataDxfId="52"/>
    <tableColumn id="27" name="MES" dataDxfId="51"/>
    <tableColumn id="2" name="MATERIAL" dataDxfId="50"/>
    <tableColumn id="23" name="COSTOS" dataDxfId="2"/>
    <tableColumn id="3" name="DESCRIPCION" dataDxfId="49"/>
    <tableColumn id="4" name="SERIE" dataDxfId="48"/>
    <tableColumn id="5" name="TIPO" dataDxfId="1"/>
    <tableColumn id="6" name="FECHA SISCAD" dataDxfId="47"/>
    <tableColumn id="7" name="FECHA SAP" dataDxfId="46"/>
    <tableColumn id="8" name="INTERLOCUTOR" dataDxfId="45"/>
    <tableColumn id="9" name="SUPERVISOR" dataDxfId="7"/>
    <tableColumn id="10" name="REGION" dataDxfId="6"/>
    <tableColumn id="11" name="DEPARTAMENTO" dataDxfId="5"/>
    <tableColumn id="12" name="JEFE DE VENTAS" dataDxfId="4"/>
    <tableColumn id="13" name="PUNTO DE VENTA" dataDxfId="3"/>
    <tableColumn id="14" name="STATUS" dataDxfId="44"/>
    <tableColumn id="15" name="SUB_MOTIVO" dataDxfId="43"/>
    <tableColumn id="28" name="MOTIVO" dataDxfId="42"/>
    <tableColumn id="16" name="OBSERVACION" dataDxfId="41"/>
    <tableColumn id="29" name="MOTIVO_CARTA" dataDxfId="40"/>
    <tableColumn id="18" name="SUB_MOTIVOCARTA" dataDxfId="39"/>
    <tableColumn id="17" name="ESTADO_CARTA" dataDxfId="38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id="3" name="AUDITORIAS4" displayName="AUDITORIAS4" ref="A1:Y2" totalsRowShown="0" headerRowDxfId="37" dataDxfId="36">
  <autoFilter ref="A1:Y2"/>
  <tableColumns count="25">
    <tableColumn id="19" name="ESTADO" dataDxfId="35">
      <calculatedColumnFormula>"NO STOCK"</calculatedColumnFormula>
    </tableColumn>
    <tableColumn id="20" name="EMPRESA" dataDxfId="34"/>
    <tableColumn id="21" name="CANT" dataDxfId="33">
      <calculatedColumnFormula>1</calculatedColumnFormula>
    </tableColumn>
    <tableColumn id="1" name="FECHA_INVENTARIO" dataDxfId="32"/>
    <tableColumn id="22" name="DIA" dataDxfId="31">
      <calculatedColumnFormula>IF(LEN(AUDITORIAS4[[#This Row],[FECHA_INVENTARIO]])=0,"",DAY(AUDITORIAS4[[#This Row],[FECHA_INVENTARIO]]))</calculatedColumnFormula>
    </tableColumn>
    <tableColumn id="26" name="MATERIAL1" dataDxfId="30"/>
    <tableColumn id="2" name="MATERIAL2" dataDxfId="29">
      <calculatedColumnFormula>TEXT(AUDITORIAS4[[#This Row],[MATERIAL1]],"00000000")</calculatedColumnFormula>
    </tableColumn>
    <tableColumn id="23" name="COSTOS" dataDxfId="28">
      <calculatedColumnFormula>IFERROR(VLOOKUP(AUDITORIAS4[[#This Row],[MATERIAL2]],COSTOS!A:E,5,0),"")</calculatedColumnFormula>
    </tableColumn>
    <tableColumn id="3" name="DESCRIPCION" dataDxfId="27"/>
    <tableColumn id="4" name="SERIE" dataDxfId="26"/>
    <tableColumn id="5" name="TIPO" dataDxfId="25">
      <calculatedColumnFormula>IF(LEN(AUDITORIAS4[[#This Row],[SERIE]])=0,"",IF(LEN(AUDITORIAS4[[#This Row],[SERIE]])=15,"CEL",IF(LEN(AUDITORIAS4[[#This Row],[SERIE]])=18,"SIM","ERROR")))</calculatedColumnFormula>
    </tableColumn>
    <tableColumn id="6" name="FECHA SISCAD" dataDxfId="24"/>
    <tableColumn id="7" name="FECHA SAP" dataDxfId="23"/>
    <tableColumn id="8" name="INTERLOCUTOR" dataDxfId="22"/>
    <tableColumn id="9" name="SUPERVISOR" dataDxfId="21">
      <calculatedColumnFormula>IFERROR(VLOOKUP(AUDITORIAS4[[#This Row],[INTERLOCUTOR]],PDV!A:F,6,0),"")</calculatedColumnFormula>
    </tableColumn>
    <tableColumn id="10" name="REGION" dataDxfId="20">
      <calculatedColumnFormula>IFERROR(VLOOKUP(AUDITORIAS4[[#This Row],[INTERLOCUTOR]],PDV!A:F,2,0),"")</calculatedColumnFormula>
    </tableColumn>
    <tableColumn id="11" name="DEPARTAMENTO" dataDxfId="19">
      <calculatedColumnFormula>IFERROR(VLOOKUP(AUDITORIAS4[[#This Row],[INTERLOCUTOR]],PDV!A:F,3,0),"")</calculatedColumnFormula>
    </tableColumn>
    <tableColumn id="12" name="JEFE DE VENTAS" dataDxfId="18">
      <calculatedColumnFormula>IFERROR(VLOOKUP(AUDITORIAS4[[#This Row],[INTERLOCUTOR]],PDV!A:F,5,0),"")</calculatedColumnFormula>
    </tableColumn>
    <tableColumn id="13" name="PUNTO DE VENTA" dataDxfId="17">
      <calculatedColumnFormula>IFERROR(VLOOKUP(AUDITORIAS4[[#This Row],[INTERLOCUTOR]],PDV!A:F,4,0),"")</calculatedColumnFormula>
    </tableColumn>
    <tableColumn id="14" name="STATUS" dataDxfId="16"/>
    <tableColumn id="24" name="SOBRANTE" dataDxfId="15">
      <calculatedColumnFormula>IF(AUDITORIAS4[[#This Row],[STATUS]]=AUDITORIAS4[[#Headers],[SOBRANTE]],1,"")</calculatedColumnFormula>
    </tableColumn>
    <tableColumn id="15" name="SUB_MOTIVO" dataDxfId="14"/>
    <tableColumn id="16" name="OBSERVACION" dataDxfId="13"/>
    <tableColumn id="17" name="ESTADO_CARTA" dataDxfId="12"/>
    <tableColumn id="18" name="SUB_MOTIVOCARTA" dataDxfId="11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id="2" name="COSTOS" displayName="COSTOS" ref="A1:E215" totalsRowShown="0">
  <autoFilter ref="A1:E215"/>
  <tableColumns count="5">
    <tableColumn id="1" name="Material"/>
    <tableColumn id="2" name="Texto breve de material"/>
    <tableColumn id="3" name="SISCAD" dataDxfId="10"/>
    <tableColumn id="4" name="SAP" dataDxfId="9"/>
    <tableColumn id="5" name="VALOR" dataDxfId="8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3"/>
  <sheetViews>
    <sheetView showGridLines="0" tabSelected="1" workbookViewId="0">
      <selection activeCell="A2" sqref="A2"/>
    </sheetView>
  </sheetViews>
  <sheetFormatPr baseColWidth="10" defaultRowHeight="15" x14ac:dyDescent="0.25"/>
  <cols>
    <col min="1" max="1" width="42.5703125" bestFit="1" customWidth="1"/>
    <col min="2" max="2" width="23.28515625" bestFit="1" customWidth="1"/>
    <col min="3" max="3" width="27.28515625" style="41" bestFit="1" customWidth="1"/>
    <col min="4" max="4" width="17.140625" customWidth="1"/>
    <col min="5" max="5" width="11.42578125" hidden="1" customWidth="1"/>
    <col min="6" max="6" width="11.42578125" style="45"/>
    <col min="7" max="7" width="14.42578125" bestFit="1" customWidth="1"/>
  </cols>
  <sheetData>
    <row r="1" spans="1:8" ht="33.75" customHeight="1" x14ac:dyDescent="0.25">
      <c r="A1" t="s">
        <v>894</v>
      </c>
      <c r="B1" s="41" t="s">
        <v>890</v>
      </c>
      <c r="C1" s="41" t="s">
        <v>891</v>
      </c>
      <c r="D1" t="s">
        <v>892</v>
      </c>
      <c r="E1" s="45" t="s">
        <v>893</v>
      </c>
      <c r="F1"/>
    </row>
    <row r="2" spans="1:8" x14ac:dyDescent="0.25">
      <c r="E2" s="18"/>
    </row>
    <row r="3" spans="1:8" x14ac:dyDescent="0.25">
      <c r="G3" s="49" t="s">
        <v>1</v>
      </c>
      <c r="H3" s="50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oja1.copiarceldas">
                <anchor>
                  <from>
                    <xdr:col>5</xdr:col>
                    <xdr:colOff>590550</xdr:colOff>
                    <xdr:row>5</xdr:row>
                    <xdr:rowOff>0</xdr:rowOff>
                  </from>
                  <to>
                    <xdr:col>6</xdr:col>
                    <xdr:colOff>933450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IMPIARDATOS">
                <anchor>
                  <from>
                    <xdr:col>5</xdr:col>
                    <xdr:colOff>581025</xdr:colOff>
                    <xdr:row>7</xdr:row>
                    <xdr:rowOff>104775</xdr:rowOff>
                  </from>
                  <to>
                    <xdr:col>7</xdr:col>
                    <xdr:colOff>28575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AñadirInventario">
                <anchor>
                  <from>
                    <xdr:col>5</xdr:col>
                    <xdr:colOff>561975</xdr:colOff>
                    <xdr:row>11</xdr:row>
                    <xdr:rowOff>180975</xdr:rowOff>
                  </from>
                  <to>
                    <xdr:col>7</xdr:col>
                    <xdr:colOff>228600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Group Box 5">
              <controlPr defaultSize="0" autoFill="0" autoPict="0">
                <anchor>
                  <from>
                    <xdr:col>5</xdr:col>
                    <xdr:colOff>295275</xdr:colOff>
                    <xdr:row>4</xdr:row>
                    <xdr:rowOff>47625</xdr:rowOff>
                  </from>
                  <to>
                    <xdr:col>8</xdr:col>
                    <xdr:colOff>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LIMPIARTABLA">
                <anchor>
                  <from>
                    <xdr:col>5</xdr:col>
                    <xdr:colOff>590550</xdr:colOff>
                    <xdr:row>9</xdr:row>
                    <xdr:rowOff>171450</xdr:rowOff>
                  </from>
                  <to>
                    <xdr:col>7</xdr:col>
                    <xdr:colOff>38100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Y3"/>
  <sheetViews>
    <sheetView workbookViewId="0">
      <selection activeCell="A3" sqref="A3"/>
    </sheetView>
  </sheetViews>
  <sheetFormatPr baseColWidth="10" defaultRowHeight="15" x14ac:dyDescent="0.25"/>
  <cols>
    <col min="3" max="3" width="14.85546875" style="45" bestFit="1" customWidth="1"/>
    <col min="4" max="5" width="11.42578125" style="45"/>
    <col min="6" max="6" width="12.42578125" bestFit="1" customWidth="1"/>
    <col min="7" max="7" width="18.7109375" style="40" customWidth="1"/>
    <col min="8" max="8" width="29.42578125" customWidth="1"/>
    <col min="9" max="9" width="16.42578125" customWidth="1"/>
    <col min="10" max="10" width="12.28515625" style="18" customWidth="1"/>
    <col min="11" max="11" width="17.42578125" customWidth="1"/>
    <col min="12" max="12" width="13" customWidth="1"/>
    <col min="13" max="13" width="18" customWidth="1"/>
    <col min="14" max="14" width="24.28515625" bestFit="1" customWidth="1"/>
    <col min="15" max="15" width="23.7109375" customWidth="1"/>
    <col min="16" max="16" width="21.85546875" customWidth="1"/>
    <col min="17" max="17" width="18.42578125" customWidth="1"/>
    <col min="18" max="18" width="20.42578125" customWidth="1"/>
    <col min="20" max="20" width="17.42578125" bestFit="1" customWidth="1"/>
    <col min="21" max="21" width="19.85546875" style="45" customWidth="1"/>
    <col min="22" max="22" width="29.42578125" customWidth="1"/>
    <col min="23" max="23" width="29.42578125" style="45" customWidth="1"/>
    <col min="24" max="24" width="18.85546875" bestFit="1" customWidth="1"/>
    <col min="25" max="25" width="15.85546875" customWidth="1"/>
    <col min="26" max="26" width="13" customWidth="1"/>
  </cols>
  <sheetData>
    <row r="1" spans="1:25" s="45" customFormat="1" ht="27.75" customHeight="1" x14ac:dyDescent="0.25">
      <c r="G1" s="40"/>
      <c r="J1" s="18"/>
    </row>
    <row r="2" spans="1:25" x14ac:dyDescent="0.25">
      <c r="A2" s="35" t="s">
        <v>400</v>
      </c>
      <c r="B2" s="31" t="s">
        <v>401</v>
      </c>
      <c r="C2" s="46" t="s">
        <v>11</v>
      </c>
      <c r="D2" s="48" t="s">
        <v>404</v>
      </c>
      <c r="E2" s="48" t="s">
        <v>851</v>
      </c>
      <c r="F2" s="10" t="s">
        <v>25</v>
      </c>
      <c r="G2" s="43" t="s">
        <v>405</v>
      </c>
      <c r="H2" s="10" t="s">
        <v>24</v>
      </c>
      <c r="I2" s="10" t="s">
        <v>23</v>
      </c>
      <c r="J2" s="31" t="s">
        <v>0</v>
      </c>
      <c r="K2" s="10" t="s">
        <v>406</v>
      </c>
      <c r="L2" s="10" t="s">
        <v>407</v>
      </c>
      <c r="M2" s="10" t="s">
        <v>1</v>
      </c>
      <c r="N2" s="31" t="s">
        <v>2</v>
      </c>
      <c r="O2" s="31" t="s">
        <v>3</v>
      </c>
      <c r="P2" s="31" t="s">
        <v>4</v>
      </c>
      <c r="Q2" s="31" t="s">
        <v>5</v>
      </c>
      <c r="R2" s="31" t="s">
        <v>26</v>
      </c>
      <c r="S2" s="10" t="s">
        <v>27</v>
      </c>
      <c r="T2" s="10" t="s">
        <v>28</v>
      </c>
      <c r="U2" s="46" t="s">
        <v>852</v>
      </c>
      <c r="V2" s="10" t="s">
        <v>29</v>
      </c>
      <c r="W2" s="46" t="s">
        <v>853</v>
      </c>
      <c r="X2" s="10" t="s">
        <v>31</v>
      </c>
      <c r="Y2" s="10" t="s">
        <v>30</v>
      </c>
    </row>
    <row r="3" spans="1:25" s="51" customFormat="1" x14ac:dyDescent="0.25">
      <c r="A3" s="5"/>
      <c r="B3" s="5"/>
      <c r="C3" s="47"/>
      <c r="D3" s="5"/>
      <c r="E3" s="5"/>
      <c r="F3" s="11"/>
      <c r="G3" s="39"/>
      <c r="H3" s="11"/>
      <c r="I3" s="12"/>
      <c r="J3" s="13"/>
      <c r="K3" s="47"/>
      <c r="L3" s="47"/>
      <c r="M3" s="11"/>
      <c r="N3" s="13"/>
      <c r="O3" s="13"/>
      <c r="P3" s="13"/>
      <c r="Q3" s="13"/>
      <c r="R3" s="13"/>
      <c r="S3" s="15"/>
      <c r="T3" s="5"/>
      <c r="U3" s="5"/>
      <c r="V3" s="1"/>
      <c r="W3" s="1"/>
      <c r="X3" s="1"/>
      <c r="Y3" s="1"/>
    </row>
  </sheetData>
  <phoneticPr fontId="3" type="noConversion"/>
  <dataValidations count="8">
    <dataValidation type="date" operator="greaterThan" allowBlank="1" showInputMessage="1" showErrorMessage="1" errorTitle="FECHA ERRONEA" error="PONER CORRECTAMENTA LA FECHA" sqref="C3">
      <formula1>43831</formula1>
    </dataValidation>
    <dataValidation type="textLength" allowBlank="1" showInputMessage="1" showErrorMessage="1" sqref="I3">
      <formula1>15</formula1>
      <formula2>18</formula2>
    </dataValidation>
    <dataValidation operator="equal" allowBlank="1" showInputMessage="1" showErrorMessage="1" sqref="F3"/>
    <dataValidation allowBlank="1" showInputMessage="1" showErrorMessage="1" errorTitle="FECHA ERRONEA" error="PONER CORRECTAMENTA LA FECHA" sqref="D3:E3"/>
    <dataValidation type="list" allowBlank="1" showInputMessage="1" showErrorMessage="1" sqref="T3">
      <formula1>IF(S3="FISICO",A_1,IF(S3="FALTANTE",A_2,IF(S3="SOBRANTE",A_3,B_0)))</formula1>
    </dataValidation>
    <dataValidation type="list" allowBlank="1" showInputMessage="1" showErrorMessage="1" sqref="X3">
      <formula1>IF(W3="DAÑO C/A",MD_10, IF(W3="DAÑO C/DOA",MD_11, IF(W3="FALTANTE DE INVENTARIO",md_12, IF(W3="NEGLIGENCIA DE PROMOTOR", MD_13, IF(W3="SINIESTROS",MD_14, IF(W3="FRAUDE",MD_15,MD_16))))))</formula1>
    </dataValidation>
    <dataValidation type="list" allowBlank="1" showInputMessage="1" showErrorMessage="1" sqref="Y3">
      <formula1>IF(W3="",N_1,N_2)</formula1>
    </dataValidation>
    <dataValidation type="list" allowBlank="1" showInputMessage="1" showErrorMessage="1" sqref="U3">
      <formula1>IF(S3="FISICO",AA_1,IF(S3="FALTANTE",AA_2,IF(S3="SOBRANTE",AA_3,B_0)))</formula1>
    </dataValidation>
  </dataValidations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Hoja2!$A$3:$A$5</xm:f>
          </x14:formula1>
          <xm:sqref>S3</xm:sqref>
        </x14:dataValidation>
        <x14:dataValidation type="list" allowBlank="1" showInputMessage="1" showErrorMessage="1">
          <x14:formula1>
            <xm:f>Hoja2!$S$3:$S$4</xm:f>
          </x14:formula1>
          <xm:sqref>A3</xm:sqref>
        </x14:dataValidation>
        <x14:dataValidation type="list" allowBlank="1" showInputMessage="1" showErrorMessage="1">
          <x14:formula1>
            <xm:f>Hoja2!$H$3:$H$8</xm:f>
          </x14:formula1>
          <xm:sqref>W3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Y11"/>
  <sheetViews>
    <sheetView topLeftCell="P1" workbookViewId="0">
      <selection activeCell="V2" sqref="V2"/>
    </sheetView>
  </sheetViews>
  <sheetFormatPr baseColWidth="10" defaultRowHeight="15" x14ac:dyDescent="0.25"/>
  <cols>
    <col min="1" max="1" width="11.42578125" style="18"/>
    <col min="4" max="6" width="15.85546875" customWidth="1"/>
    <col min="7" max="7" width="18.7109375" hidden="1" customWidth="1"/>
    <col min="8" max="8" width="18.7109375" style="40" customWidth="1"/>
    <col min="9" max="9" width="29.42578125" customWidth="1"/>
    <col min="10" max="10" width="16.42578125" customWidth="1"/>
    <col min="11" max="11" width="12.28515625" style="18" customWidth="1"/>
    <col min="12" max="12" width="14.85546875" bestFit="1" customWidth="1"/>
    <col min="13" max="13" width="13" customWidth="1"/>
    <col min="14" max="14" width="18" customWidth="1"/>
    <col min="15" max="15" width="24.28515625" bestFit="1" customWidth="1"/>
    <col min="16" max="16" width="23.7109375" customWidth="1"/>
    <col min="17" max="17" width="21.85546875" customWidth="1"/>
    <col min="18" max="18" width="18.42578125" customWidth="1"/>
    <col min="19" max="19" width="20.42578125" customWidth="1"/>
    <col min="21" max="21" width="15.7109375" customWidth="1"/>
    <col min="22" max="22" width="14.42578125" bestFit="1" customWidth="1"/>
    <col min="23" max="23" width="29.42578125" customWidth="1"/>
    <col min="24" max="24" width="13" customWidth="1"/>
    <col min="25" max="25" width="15.85546875" customWidth="1"/>
  </cols>
  <sheetData>
    <row r="1" spans="1:25" x14ac:dyDescent="0.25">
      <c r="A1" s="31" t="s">
        <v>399</v>
      </c>
      <c r="B1" s="35" t="s">
        <v>400</v>
      </c>
      <c r="C1" s="31" t="s">
        <v>401</v>
      </c>
      <c r="D1" s="10" t="s">
        <v>11</v>
      </c>
      <c r="E1" s="31" t="s">
        <v>404</v>
      </c>
      <c r="F1" s="10" t="s">
        <v>850</v>
      </c>
      <c r="G1" s="10" t="s">
        <v>849</v>
      </c>
      <c r="H1" s="43" t="s">
        <v>405</v>
      </c>
      <c r="I1" s="10" t="s">
        <v>24</v>
      </c>
      <c r="J1" s="10" t="s">
        <v>23</v>
      </c>
      <c r="K1" s="31" t="s">
        <v>0</v>
      </c>
      <c r="L1" s="10" t="s">
        <v>406</v>
      </c>
      <c r="M1" s="10" t="s">
        <v>407</v>
      </c>
      <c r="N1" s="10" t="s">
        <v>1</v>
      </c>
      <c r="O1" s="31" t="s">
        <v>2</v>
      </c>
      <c r="P1" s="31" t="s">
        <v>3</v>
      </c>
      <c r="Q1" s="31" t="s">
        <v>4</v>
      </c>
      <c r="R1" s="31" t="s">
        <v>5</v>
      </c>
      <c r="S1" s="31" t="s">
        <v>26</v>
      </c>
      <c r="T1" s="10" t="s">
        <v>27</v>
      </c>
      <c r="U1" s="31" t="s">
        <v>847</v>
      </c>
      <c r="V1" s="10" t="s">
        <v>28</v>
      </c>
      <c r="W1" s="10" t="s">
        <v>29</v>
      </c>
      <c r="X1" s="10" t="s">
        <v>30</v>
      </c>
      <c r="Y1" s="10" t="s">
        <v>31</v>
      </c>
    </row>
    <row r="2" spans="1:25" x14ac:dyDescent="0.25">
      <c r="A2" s="37" t="str">
        <f>"NO STOCK"</f>
        <v>NO STOCK</v>
      </c>
      <c r="B2" s="36" t="s">
        <v>402</v>
      </c>
      <c r="C2" s="36">
        <f>1</f>
        <v>1</v>
      </c>
      <c r="D2" s="38"/>
      <c r="E2" s="16" t="str">
        <f>IF(LEN(AUDITORIAS4[[#This Row],[FECHA_INVENTARIO]])=0,"",DAY(AUDITORIAS4[[#This Row],[FECHA_INVENTARIO]]))</f>
        <v/>
      </c>
      <c r="F2" s="16"/>
      <c r="G2" s="11" t="str">
        <f>TEXT(AUDITORIAS4[[#This Row],[MATERIAL1]],"00000000")</f>
        <v>00000000</v>
      </c>
      <c r="H2" s="39" t="str">
        <f>IFERROR(VLOOKUP(AUDITORIAS4[[#This Row],[MATERIAL2]],COSTOS!A:E,5,0),"")</f>
        <v/>
      </c>
      <c r="I2" s="11"/>
      <c r="J2" s="12"/>
      <c r="K2" s="13" t="str">
        <f>IF(LEN(AUDITORIAS4[[#This Row],[SERIE]])=0,"",IF(LEN(AUDITORIAS4[[#This Row],[SERIE]])=15,"CEL",IF(LEN(AUDITORIAS4[[#This Row],[SERIE]])=18,"SIM","ERROR")))</f>
        <v/>
      </c>
      <c r="L2" s="14"/>
      <c r="M2" s="14"/>
      <c r="N2" s="11"/>
      <c r="O2" s="11" t="str">
        <f>IFERROR(VLOOKUP(AUDITORIAS4[[#This Row],[INTERLOCUTOR]],PDV!A:F,6,0),"")</f>
        <v/>
      </c>
      <c r="P2" s="11" t="str">
        <f>IFERROR(VLOOKUP(AUDITORIAS4[[#This Row],[INTERLOCUTOR]],PDV!A:F,2,0),"")</f>
        <v/>
      </c>
      <c r="Q2" s="11" t="str">
        <f>IFERROR(VLOOKUP(AUDITORIAS4[[#This Row],[INTERLOCUTOR]],PDV!A:F,3,0),"")</f>
        <v/>
      </c>
      <c r="R2" s="11" t="str">
        <f>IFERROR(VLOOKUP(AUDITORIAS4[[#This Row],[INTERLOCUTOR]],PDV!A:F,5,0),"")</f>
        <v/>
      </c>
      <c r="S2" s="11" t="str">
        <f>IFERROR(VLOOKUP(AUDITORIAS4[[#This Row],[INTERLOCUTOR]],PDV!A:F,4,0),"")</f>
        <v/>
      </c>
      <c r="T2" s="15" t="s">
        <v>847</v>
      </c>
      <c r="U2" s="15">
        <f>IF(AUDITORIAS4[[#This Row],[STATUS]]=AUDITORIAS4[[#Headers],[SOBRANTE]],1,"")</f>
        <v>1</v>
      </c>
      <c r="V2" s="5" t="s">
        <v>848</v>
      </c>
      <c r="W2" s="1"/>
      <c r="X2" s="1"/>
      <c r="Y2" s="1"/>
    </row>
    <row r="3" spans="1:25" x14ac:dyDescent="0.25">
      <c r="T3" s="17"/>
      <c r="U3" s="17"/>
    </row>
    <row r="4" spans="1:25" x14ac:dyDescent="0.25">
      <c r="T4" s="17"/>
      <c r="U4" s="17"/>
    </row>
    <row r="5" spans="1:25" x14ac:dyDescent="0.25">
      <c r="T5" s="17"/>
      <c r="U5" s="17"/>
    </row>
    <row r="6" spans="1:25" x14ac:dyDescent="0.25">
      <c r="T6" s="1"/>
      <c r="U6" s="1"/>
    </row>
    <row r="7" spans="1:25" x14ac:dyDescent="0.25">
      <c r="T7" s="17"/>
      <c r="U7" s="17"/>
    </row>
    <row r="8" spans="1:25" x14ac:dyDescent="0.25">
      <c r="T8" s="17"/>
      <c r="U8" s="17"/>
    </row>
    <row r="9" spans="1:25" x14ac:dyDescent="0.25">
      <c r="T9" s="17"/>
      <c r="U9" s="17"/>
    </row>
    <row r="10" spans="1:25" x14ac:dyDescent="0.25">
      <c r="T10" s="17"/>
      <c r="U10" s="17"/>
    </row>
    <row r="11" spans="1:25" x14ac:dyDescent="0.25">
      <c r="T11" s="17"/>
      <c r="U11" s="17"/>
    </row>
  </sheetData>
  <dataValidations count="6">
    <dataValidation type="textLength" operator="equal" allowBlank="1" showInputMessage="1" showErrorMessage="1" sqref="G2">
      <formula1>8</formula1>
    </dataValidation>
    <dataValidation allowBlank="1" showInputMessage="1" showErrorMessage="1" errorTitle="FECHA ERRONEA" error="PONER CORRECTAMENTA LA FECHA" sqref="E2:F2"/>
    <dataValidation type="textLength" allowBlank="1" showInputMessage="1" showErrorMessage="1" sqref="J2">
      <formula1>15</formula1>
      <formula2>18</formula2>
    </dataValidation>
    <dataValidation type="date" operator="greaterThan" allowBlank="1" showInputMessage="1" showErrorMessage="1" errorTitle="FECHA ERRONEA" error="PONER CORRECTAMENTA LA FECHA" sqref="D2">
      <formula1>43831</formula1>
    </dataValidation>
    <dataValidation type="list" allowBlank="1" showInputMessage="1" showErrorMessage="1" sqref="V2">
      <formula1>IF(T2="FISICO",F_1,IF(T2="FALTANTE",F_2,IF(T2="SOBRANTE",N_3,B_0)))</formula1>
    </dataValidation>
    <dataValidation type="list" allowBlank="1" showInputMessage="1" showErrorMessage="1" sqref="Y2">
      <formula1>IF(X2="EMITIDA",N_2,IF(X2="NO EMITIDA",N_1,B_0))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Hoja2!$S$3:$S$4</xm:f>
          </x14:formula1>
          <xm:sqref>B2</xm:sqref>
        </x14:dataValidation>
        <x14:dataValidation type="list" allowBlank="1" showInputMessage="1" showErrorMessage="1">
          <x14:formula1>
            <xm:f>Hoja2!$H$3:$H$4</xm:f>
          </x14:formula1>
          <xm:sqref>X2</xm:sqref>
        </x14:dataValidation>
        <x14:dataValidation type="list" allowBlank="1" showInputMessage="1" showErrorMessage="1">
          <x14:formula1>
            <xm:f>Hoja2!$A$5</xm:f>
          </x14:formula1>
          <xm:sqref>T2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S27"/>
  <sheetViews>
    <sheetView workbookViewId="0">
      <selection activeCell="F13" sqref="F13:F17"/>
    </sheetView>
  </sheetViews>
  <sheetFormatPr baseColWidth="10" defaultRowHeight="15" x14ac:dyDescent="0.25"/>
  <cols>
    <col min="1" max="1" width="8.42578125" bestFit="1" customWidth="1"/>
    <col min="2" max="2" width="3" style="2" customWidth="1"/>
    <col min="3" max="3" width="17.42578125" customWidth="1"/>
    <col min="4" max="4" width="5.5703125" style="45" customWidth="1"/>
    <col min="5" max="5" width="17.42578125" style="45" bestFit="1" customWidth="1"/>
    <col min="6" max="6" width="17.42578125" style="45" customWidth="1"/>
    <col min="7" max="7" width="3" style="2" customWidth="1"/>
    <col min="8" max="8" width="26.85546875" hidden="1" customWidth="1"/>
    <col min="9" max="9" width="3" style="2" customWidth="1"/>
    <col min="10" max="10" width="26.85546875" style="2" bestFit="1" customWidth="1"/>
    <col min="11" max="11" width="23" style="2" bestFit="1" customWidth="1"/>
    <col min="12" max="12" width="3" style="2" customWidth="1"/>
    <col min="13" max="13" width="12.42578125" bestFit="1" customWidth="1"/>
    <col min="14" max="14" width="2.7109375" customWidth="1"/>
    <col min="15" max="15" width="16.85546875" bestFit="1" customWidth="1"/>
    <col min="16" max="16" width="2.28515625" customWidth="1"/>
    <col min="17" max="17" width="22.85546875" bestFit="1" customWidth="1"/>
    <col min="18" max="18" width="3.28515625" customWidth="1"/>
  </cols>
  <sheetData>
    <row r="2" spans="1:19" x14ac:dyDescent="0.25">
      <c r="A2" s="3" t="s">
        <v>6</v>
      </c>
      <c r="B2" s="4"/>
      <c r="C2" s="3" t="s">
        <v>7</v>
      </c>
      <c r="E2" s="3" t="s">
        <v>852</v>
      </c>
      <c r="F2" s="3" t="s">
        <v>888</v>
      </c>
      <c r="G2" s="4"/>
      <c r="H2" s="3" t="s">
        <v>859</v>
      </c>
      <c r="I2" s="4"/>
      <c r="J2" s="3" t="s">
        <v>866</v>
      </c>
      <c r="K2" s="3" t="s">
        <v>867</v>
      </c>
      <c r="L2" s="4"/>
      <c r="M2" s="3" t="s">
        <v>854</v>
      </c>
      <c r="O2" s="3" t="s">
        <v>3</v>
      </c>
      <c r="Q2" s="3" t="s">
        <v>4</v>
      </c>
      <c r="S2" s="3" t="s">
        <v>400</v>
      </c>
    </row>
    <row r="3" spans="1:19" x14ac:dyDescent="0.25">
      <c r="A3" s="9" t="s">
        <v>20</v>
      </c>
      <c r="B3" s="4"/>
      <c r="C3" s="9" t="s">
        <v>14</v>
      </c>
      <c r="D3" s="9"/>
      <c r="E3" s="9" t="s">
        <v>16</v>
      </c>
      <c r="F3" s="9" t="s">
        <v>882</v>
      </c>
      <c r="G3" s="4"/>
      <c r="H3" s="5" t="s">
        <v>860</v>
      </c>
      <c r="I3" s="4"/>
      <c r="J3" s="5" t="s">
        <v>860</v>
      </c>
      <c r="K3" s="5" t="s">
        <v>868</v>
      </c>
      <c r="L3" s="4"/>
      <c r="M3" s="5" t="s">
        <v>12</v>
      </c>
      <c r="O3" s="5" t="s">
        <v>34</v>
      </c>
      <c r="Q3" s="5" t="s">
        <v>35</v>
      </c>
      <c r="S3" s="5" t="s">
        <v>402</v>
      </c>
    </row>
    <row r="4" spans="1:19" x14ac:dyDescent="0.25">
      <c r="A4" s="8" t="s">
        <v>21</v>
      </c>
      <c r="B4" s="6"/>
      <c r="C4" s="9" t="s">
        <v>15</v>
      </c>
      <c r="D4" s="9"/>
      <c r="E4" s="9" t="s">
        <v>16</v>
      </c>
      <c r="F4" s="9" t="s">
        <v>883</v>
      </c>
      <c r="G4" s="6"/>
      <c r="H4" s="5" t="s">
        <v>861</v>
      </c>
      <c r="I4" s="6"/>
      <c r="J4" s="5" t="s">
        <v>860</v>
      </c>
      <c r="K4" s="5" t="s">
        <v>869</v>
      </c>
      <c r="L4" s="6"/>
      <c r="M4" s="5" t="s">
        <v>13</v>
      </c>
      <c r="O4" s="5" t="s">
        <v>274</v>
      </c>
      <c r="Q4" s="30" t="s">
        <v>138</v>
      </c>
      <c r="S4" s="5" t="s">
        <v>403</v>
      </c>
    </row>
    <row r="5" spans="1:19" x14ac:dyDescent="0.25">
      <c r="A5" s="44" t="s">
        <v>847</v>
      </c>
      <c r="B5" s="6"/>
      <c r="C5" s="9" t="s">
        <v>16</v>
      </c>
      <c r="D5" s="9"/>
      <c r="E5" s="9" t="s">
        <v>14</v>
      </c>
      <c r="F5" s="9" t="s">
        <v>886</v>
      </c>
      <c r="G5" s="6"/>
      <c r="H5" s="5" t="s">
        <v>862</v>
      </c>
      <c r="I5" s="6"/>
      <c r="J5" s="5" t="s">
        <v>860</v>
      </c>
      <c r="K5" s="5" t="s">
        <v>870</v>
      </c>
      <c r="L5" s="6"/>
      <c r="M5" s="5" t="s">
        <v>32</v>
      </c>
      <c r="O5" s="30" t="s">
        <v>9</v>
      </c>
      <c r="Q5" s="30" t="s">
        <v>150</v>
      </c>
    </row>
    <row r="6" spans="1:19" x14ac:dyDescent="0.25">
      <c r="A6" s="5"/>
      <c r="B6" s="6"/>
      <c r="C6" s="9" t="s">
        <v>17</v>
      </c>
      <c r="D6" s="9"/>
      <c r="E6" s="9" t="s">
        <v>17</v>
      </c>
      <c r="F6" s="9" t="s">
        <v>17</v>
      </c>
      <c r="G6" s="6"/>
      <c r="H6" s="5" t="s">
        <v>863</v>
      </c>
      <c r="I6" s="6"/>
      <c r="J6" s="5" t="s">
        <v>861</v>
      </c>
      <c r="K6" s="5" t="s">
        <v>16</v>
      </c>
      <c r="L6" s="6"/>
      <c r="M6" s="7"/>
      <c r="O6" s="8" t="s">
        <v>247</v>
      </c>
      <c r="Q6" s="30" t="s">
        <v>10</v>
      </c>
    </row>
    <row r="7" spans="1:19" x14ac:dyDescent="0.25">
      <c r="A7" s="5"/>
      <c r="B7" s="4"/>
      <c r="C7" s="8" t="s">
        <v>18</v>
      </c>
      <c r="D7" s="8"/>
      <c r="E7" s="9" t="s">
        <v>15</v>
      </c>
      <c r="F7" s="9" t="s">
        <v>885</v>
      </c>
      <c r="G7" s="4"/>
      <c r="H7" s="5" t="s">
        <v>864</v>
      </c>
      <c r="I7" s="4"/>
      <c r="J7" s="5" t="s">
        <v>861</v>
      </c>
      <c r="K7" s="5" t="s">
        <v>871</v>
      </c>
      <c r="L7" s="4"/>
      <c r="M7" s="7"/>
      <c r="Q7" s="30" t="s">
        <v>171</v>
      </c>
    </row>
    <row r="8" spans="1:19" x14ac:dyDescent="0.25">
      <c r="A8" s="5"/>
      <c r="B8" s="6"/>
      <c r="C8" s="8" t="s">
        <v>19</v>
      </c>
      <c r="D8" s="8"/>
      <c r="E8" s="8" t="s">
        <v>19</v>
      </c>
      <c r="F8" s="9" t="s">
        <v>887</v>
      </c>
      <c r="G8" s="6"/>
      <c r="H8" s="5" t="s">
        <v>865</v>
      </c>
      <c r="I8" s="6"/>
      <c r="J8" s="5" t="s">
        <v>862</v>
      </c>
      <c r="K8" s="5" t="s">
        <v>21</v>
      </c>
      <c r="L8" s="6"/>
      <c r="M8" s="7"/>
      <c r="Q8" s="30" t="s">
        <v>184</v>
      </c>
    </row>
    <row r="9" spans="1:19" s="45" customFormat="1" x14ac:dyDescent="0.25">
      <c r="A9" s="5"/>
      <c r="B9" s="6"/>
      <c r="C9" s="8" t="s">
        <v>848</v>
      </c>
      <c r="D9" s="8"/>
      <c r="E9" s="8" t="s">
        <v>18</v>
      </c>
      <c r="F9" s="8" t="s">
        <v>884</v>
      </c>
      <c r="G9" s="6"/>
      <c r="H9" s="7"/>
      <c r="I9" s="6"/>
      <c r="J9" s="5" t="s">
        <v>863</v>
      </c>
      <c r="K9" s="5" t="s">
        <v>872</v>
      </c>
      <c r="L9" s="6"/>
      <c r="M9" s="7"/>
      <c r="Q9" s="30"/>
    </row>
    <row r="10" spans="1:19" x14ac:dyDescent="0.25">
      <c r="C10" s="8" t="s">
        <v>22</v>
      </c>
      <c r="D10" s="8"/>
      <c r="E10" s="8" t="s">
        <v>848</v>
      </c>
      <c r="F10" s="8" t="s">
        <v>884</v>
      </c>
      <c r="J10" s="5" t="s">
        <v>863</v>
      </c>
      <c r="K10" s="5" t="s">
        <v>873</v>
      </c>
      <c r="Q10" s="30" t="s">
        <v>212</v>
      </c>
    </row>
    <row r="11" spans="1:19" s="45" customFormat="1" x14ac:dyDescent="0.25">
      <c r="B11" s="2"/>
      <c r="C11" s="8" t="s">
        <v>858</v>
      </c>
      <c r="D11" s="8"/>
      <c r="E11" s="8" t="s">
        <v>22</v>
      </c>
      <c r="F11" s="8" t="s">
        <v>22</v>
      </c>
      <c r="G11" s="2"/>
      <c r="I11" s="2"/>
      <c r="J11" s="5" t="s">
        <v>863</v>
      </c>
      <c r="K11" s="5" t="s">
        <v>874</v>
      </c>
      <c r="L11" s="2"/>
      <c r="Q11" s="30"/>
    </row>
    <row r="12" spans="1:19" x14ac:dyDescent="0.25">
      <c r="C12" s="44" t="s">
        <v>857</v>
      </c>
      <c r="D12" s="44"/>
      <c r="E12" s="8" t="s">
        <v>858</v>
      </c>
      <c r="F12" s="8" t="s">
        <v>858</v>
      </c>
      <c r="J12" s="5" t="s">
        <v>863</v>
      </c>
      <c r="K12" s="5" t="s">
        <v>875</v>
      </c>
      <c r="Q12" s="30" t="s">
        <v>235</v>
      </c>
    </row>
    <row r="13" spans="1:19" x14ac:dyDescent="0.25">
      <c r="C13" s="44" t="s">
        <v>848</v>
      </c>
      <c r="D13" s="44"/>
      <c r="E13" s="44" t="s">
        <v>857</v>
      </c>
      <c r="F13" s="44" t="s">
        <v>857</v>
      </c>
      <c r="J13" s="5" t="s">
        <v>863</v>
      </c>
      <c r="K13" s="5" t="s">
        <v>847</v>
      </c>
      <c r="Q13" s="8" t="s">
        <v>248</v>
      </c>
    </row>
    <row r="14" spans="1:19" x14ac:dyDescent="0.25">
      <c r="C14" s="44" t="s">
        <v>22</v>
      </c>
      <c r="D14" s="44"/>
      <c r="E14" s="44" t="s">
        <v>848</v>
      </c>
      <c r="F14" s="44" t="s">
        <v>887</v>
      </c>
      <c r="J14" s="5" t="s">
        <v>863</v>
      </c>
      <c r="K14" s="5" t="s">
        <v>876</v>
      </c>
      <c r="Q14" s="8" t="s">
        <v>259</v>
      </c>
    </row>
    <row r="15" spans="1:19" x14ac:dyDescent="0.25">
      <c r="C15" s="44" t="s">
        <v>855</v>
      </c>
      <c r="D15" s="44"/>
      <c r="E15" s="44" t="s">
        <v>22</v>
      </c>
      <c r="F15" s="44" t="s">
        <v>22</v>
      </c>
      <c r="J15" s="5" t="s">
        <v>863</v>
      </c>
      <c r="K15" s="5" t="s">
        <v>877</v>
      </c>
      <c r="Q15" s="8" t="s">
        <v>264</v>
      </c>
    </row>
    <row r="16" spans="1:19" x14ac:dyDescent="0.25">
      <c r="C16" s="44" t="s">
        <v>856</v>
      </c>
      <c r="D16" s="44"/>
      <c r="E16" s="44" t="s">
        <v>889</v>
      </c>
      <c r="F16" s="44" t="s">
        <v>855</v>
      </c>
      <c r="J16" s="5" t="s">
        <v>863</v>
      </c>
      <c r="K16" s="5" t="s">
        <v>878</v>
      </c>
      <c r="Q16" s="8" t="s">
        <v>390</v>
      </c>
    </row>
    <row r="17" spans="5:17" x14ac:dyDescent="0.25">
      <c r="E17" s="44" t="s">
        <v>856</v>
      </c>
      <c r="F17" s="44" t="s">
        <v>856</v>
      </c>
      <c r="J17" s="5" t="s">
        <v>863</v>
      </c>
      <c r="K17" s="5" t="s">
        <v>879</v>
      </c>
      <c r="Q17" s="8" t="s">
        <v>286</v>
      </c>
    </row>
    <row r="18" spans="5:17" x14ac:dyDescent="0.25">
      <c r="J18" s="5" t="s">
        <v>864</v>
      </c>
      <c r="K18" s="5" t="s">
        <v>880</v>
      </c>
      <c r="Q18" s="8" t="s">
        <v>293</v>
      </c>
    </row>
    <row r="19" spans="5:17" x14ac:dyDescent="0.25">
      <c r="J19" s="5" t="s">
        <v>864</v>
      </c>
      <c r="K19" s="5" t="s">
        <v>881</v>
      </c>
      <c r="Q19" s="8" t="s">
        <v>308</v>
      </c>
    </row>
    <row r="20" spans="5:17" x14ac:dyDescent="0.25">
      <c r="J20" s="5" t="s">
        <v>864</v>
      </c>
      <c r="K20" s="5" t="s">
        <v>21</v>
      </c>
      <c r="Q20" s="8" t="s">
        <v>384</v>
      </c>
    </row>
    <row r="21" spans="5:17" x14ac:dyDescent="0.25">
      <c r="J21" s="5" t="s">
        <v>865</v>
      </c>
      <c r="K21" s="5" t="s">
        <v>865</v>
      </c>
      <c r="Q21" s="8" t="s">
        <v>347</v>
      </c>
    </row>
    <row r="22" spans="5:17" x14ac:dyDescent="0.25">
      <c r="Q22" s="5" t="s">
        <v>374</v>
      </c>
    </row>
    <row r="23" spans="5:17" x14ac:dyDescent="0.25">
      <c r="Q23" s="5" t="s">
        <v>275</v>
      </c>
    </row>
    <row r="24" spans="5:17" x14ac:dyDescent="0.25">
      <c r="Q24" s="5" t="s">
        <v>326</v>
      </c>
    </row>
    <row r="25" spans="5:17" x14ac:dyDescent="0.25">
      <c r="Q25" s="5"/>
    </row>
    <row r="26" spans="5:17" x14ac:dyDescent="0.25">
      <c r="Q26" s="5"/>
    </row>
    <row r="27" spans="5:17" x14ac:dyDescent="0.25">
      <c r="Q27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215"/>
  <sheetViews>
    <sheetView topLeftCell="A193" workbookViewId="0">
      <selection activeCell="B13" sqref="B13"/>
    </sheetView>
  </sheetViews>
  <sheetFormatPr baseColWidth="10" defaultRowHeight="15" x14ac:dyDescent="0.25"/>
  <cols>
    <col min="2" max="2" width="44.85546875" bestFit="1" customWidth="1"/>
  </cols>
  <sheetData>
    <row r="1" spans="1:5" x14ac:dyDescent="0.25">
      <c r="A1" t="s">
        <v>414</v>
      </c>
      <c r="B1" t="s">
        <v>415</v>
      </c>
      <c r="C1" t="s">
        <v>416</v>
      </c>
      <c r="D1" t="s">
        <v>417</v>
      </c>
      <c r="E1" t="s">
        <v>418</v>
      </c>
    </row>
    <row r="2" spans="1:5" x14ac:dyDescent="0.25">
      <c r="A2" t="s">
        <v>419</v>
      </c>
      <c r="B2" t="s">
        <v>781</v>
      </c>
      <c r="C2" s="41">
        <v>43344</v>
      </c>
      <c r="D2" s="41">
        <v>42936</v>
      </c>
      <c r="E2" s="42">
        <v>349.98</v>
      </c>
    </row>
    <row r="3" spans="1:5" x14ac:dyDescent="0.25">
      <c r="A3" t="s">
        <v>420</v>
      </c>
      <c r="B3" t="s">
        <v>421</v>
      </c>
      <c r="C3" s="41">
        <v>43436</v>
      </c>
      <c r="D3" s="41">
        <v>42906</v>
      </c>
      <c r="E3" s="42">
        <v>318.58</v>
      </c>
    </row>
    <row r="4" spans="1:5" x14ac:dyDescent="0.25">
      <c r="A4" t="s">
        <v>422</v>
      </c>
      <c r="B4" t="s">
        <v>782</v>
      </c>
      <c r="C4" s="41">
        <v>43455</v>
      </c>
      <c r="D4" s="41">
        <v>43439</v>
      </c>
      <c r="E4" s="42">
        <v>161.17500000000001</v>
      </c>
    </row>
    <row r="5" spans="1:5" x14ac:dyDescent="0.25">
      <c r="A5" t="s">
        <v>423</v>
      </c>
      <c r="B5" t="s">
        <v>424</v>
      </c>
      <c r="C5" s="41">
        <v>43482</v>
      </c>
      <c r="D5" s="41">
        <v>43329</v>
      </c>
      <c r="E5" s="42">
        <v>312.89</v>
      </c>
    </row>
    <row r="6" spans="1:5" x14ac:dyDescent="0.25">
      <c r="A6" t="s">
        <v>425</v>
      </c>
      <c r="B6" t="s">
        <v>426</v>
      </c>
      <c r="C6" s="41">
        <v>43718</v>
      </c>
      <c r="D6" s="41">
        <v>43465</v>
      </c>
      <c r="E6" s="42">
        <v>302.77666699999997</v>
      </c>
    </row>
    <row r="7" spans="1:5" x14ac:dyDescent="0.25">
      <c r="A7" t="s">
        <v>427</v>
      </c>
      <c r="B7" t="s">
        <v>428</v>
      </c>
      <c r="C7" s="41">
        <v>42702</v>
      </c>
      <c r="D7" s="41">
        <v>42662</v>
      </c>
      <c r="E7" s="42">
        <v>67.536666999999994</v>
      </c>
    </row>
    <row r="8" spans="1:5" x14ac:dyDescent="0.25">
      <c r="A8" t="s">
        <v>429</v>
      </c>
      <c r="B8" t="s">
        <v>430</v>
      </c>
      <c r="C8" s="41">
        <v>42966</v>
      </c>
      <c r="D8" s="41">
        <v>42832</v>
      </c>
      <c r="E8" s="42">
        <v>65.635999999999996</v>
      </c>
    </row>
    <row r="9" spans="1:5" x14ac:dyDescent="0.25">
      <c r="A9" t="s">
        <v>431</v>
      </c>
      <c r="B9" t="s">
        <v>432</v>
      </c>
      <c r="C9" s="41">
        <v>43004</v>
      </c>
      <c r="D9" s="41">
        <v>42986</v>
      </c>
      <c r="E9" s="42">
        <v>1063.2</v>
      </c>
    </row>
    <row r="10" spans="1:5" x14ac:dyDescent="0.25">
      <c r="A10" t="s">
        <v>433</v>
      </c>
      <c r="B10" t="s">
        <v>434</v>
      </c>
      <c r="C10" s="41">
        <v>43048</v>
      </c>
      <c r="D10" s="41">
        <v>42940</v>
      </c>
      <c r="E10" s="42">
        <v>1782.5233330000001</v>
      </c>
    </row>
    <row r="11" spans="1:5" x14ac:dyDescent="0.25">
      <c r="A11" t="s">
        <v>435</v>
      </c>
      <c r="B11" t="s">
        <v>436</v>
      </c>
      <c r="C11" s="41">
        <v>43068</v>
      </c>
      <c r="D11" s="41">
        <v>43024</v>
      </c>
      <c r="E11" s="42">
        <v>251.94</v>
      </c>
    </row>
    <row r="12" spans="1:5" x14ac:dyDescent="0.25">
      <c r="A12" t="s">
        <v>437</v>
      </c>
      <c r="B12" t="s">
        <v>438</v>
      </c>
      <c r="C12" s="41">
        <v>43113</v>
      </c>
      <c r="D12" s="41">
        <v>43013</v>
      </c>
      <c r="E12" s="42">
        <v>138.77000000000001</v>
      </c>
    </row>
    <row r="13" spans="1:5" x14ac:dyDescent="0.25">
      <c r="A13" t="s">
        <v>439</v>
      </c>
      <c r="B13" t="s">
        <v>440</v>
      </c>
      <c r="C13" s="41">
        <v>43146</v>
      </c>
      <c r="D13" s="41">
        <v>43066</v>
      </c>
      <c r="E13" s="42">
        <v>32.049999999999997</v>
      </c>
    </row>
    <row r="14" spans="1:5" x14ac:dyDescent="0.25">
      <c r="A14" t="s">
        <v>441</v>
      </c>
      <c r="B14" t="s">
        <v>442</v>
      </c>
      <c r="C14" s="41">
        <v>43244</v>
      </c>
      <c r="D14" s="41">
        <v>43140</v>
      </c>
      <c r="E14" s="42">
        <v>51.79</v>
      </c>
    </row>
    <row r="15" spans="1:5" x14ac:dyDescent="0.25">
      <c r="A15" t="s">
        <v>443</v>
      </c>
      <c r="B15" t="s">
        <v>444</v>
      </c>
      <c r="C15" s="41">
        <v>43279</v>
      </c>
      <c r="D15" s="41">
        <v>43255</v>
      </c>
      <c r="E15" s="42">
        <v>280.25</v>
      </c>
    </row>
    <row r="16" spans="1:5" x14ac:dyDescent="0.25">
      <c r="A16" t="s">
        <v>445</v>
      </c>
      <c r="B16" t="s">
        <v>446</v>
      </c>
      <c r="C16" s="41">
        <v>43295</v>
      </c>
      <c r="D16" s="41">
        <v>43273</v>
      </c>
      <c r="E16" s="42">
        <v>193.8</v>
      </c>
    </row>
    <row r="17" spans="1:5" x14ac:dyDescent="0.25">
      <c r="A17" t="s">
        <v>447</v>
      </c>
      <c r="B17" t="s">
        <v>448</v>
      </c>
      <c r="C17" s="41">
        <v>43384</v>
      </c>
      <c r="D17" s="41">
        <v>43277</v>
      </c>
      <c r="E17" s="42">
        <v>79.207691999999994</v>
      </c>
    </row>
    <row r="18" spans="1:5" x14ac:dyDescent="0.25">
      <c r="A18" t="s">
        <v>449</v>
      </c>
      <c r="B18" t="s">
        <v>450</v>
      </c>
      <c r="C18" s="41">
        <v>43391</v>
      </c>
      <c r="D18" s="41">
        <v>43255</v>
      </c>
      <c r="E18" s="42">
        <v>51.814999999999998</v>
      </c>
    </row>
    <row r="19" spans="1:5" x14ac:dyDescent="0.25">
      <c r="A19" t="s">
        <v>451</v>
      </c>
      <c r="B19" t="s">
        <v>452</v>
      </c>
      <c r="C19" s="41">
        <v>43421</v>
      </c>
      <c r="D19" s="41">
        <v>43409</v>
      </c>
      <c r="E19" s="42">
        <v>437.65499999999997</v>
      </c>
    </row>
    <row r="20" spans="1:5" x14ac:dyDescent="0.25">
      <c r="A20" t="s">
        <v>453</v>
      </c>
      <c r="B20" t="s">
        <v>454</v>
      </c>
      <c r="C20" s="41">
        <v>43426</v>
      </c>
      <c r="D20" s="41">
        <v>43399</v>
      </c>
      <c r="E20" s="42">
        <v>60.55</v>
      </c>
    </row>
    <row r="21" spans="1:5" x14ac:dyDescent="0.25">
      <c r="A21" t="s">
        <v>455</v>
      </c>
      <c r="B21" t="s">
        <v>456</v>
      </c>
      <c r="C21" s="41">
        <v>43433</v>
      </c>
      <c r="D21" s="41">
        <v>43369</v>
      </c>
      <c r="E21" s="42">
        <v>997.1</v>
      </c>
    </row>
    <row r="22" spans="1:5" x14ac:dyDescent="0.25">
      <c r="A22" t="s">
        <v>457</v>
      </c>
      <c r="B22" t="s">
        <v>458</v>
      </c>
      <c r="C22" s="41">
        <v>43433</v>
      </c>
      <c r="D22" s="41">
        <v>43409</v>
      </c>
      <c r="E22" s="42">
        <v>475.74</v>
      </c>
    </row>
    <row r="23" spans="1:5" x14ac:dyDescent="0.25">
      <c r="A23" t="s">
        <v>459</v>
      </c>
      <c r="B23" t="s">
        <v>460</v>
      </c>
      <c r="C23" s="41">
        <v>43452</v>
      </c>
      <c r="D23" s="41">
        <v>43270</v>
      </c>
      <c r="E23" s="42">
        <v>2513.34</v>
      </c>
    </row>
    <row r="24" spans="1:5" x14ac:dyDescent="0.25">
      <c r="A24" t="s">
        <v>461</v>
      </c>
      <c r="B24" t="s">
        <v>462</v>
      </c>
      <c r="C24" s="41">
        <v>43491</v>
      </c>
      <c r="D24" s="41">
        <v>43301</v>
      </c>
      <c r="E24" s="42">
        <v>338.78</v>
      </c>
    </row>
    <row r="25" spans="1:5" x14ac:dyDescent="0.25">
      <c r="A25" t="s">
        <v>463</v>
      </c>
      <c r="B25" t="s">
        <v>464</v>
      </c>
      <c r="C25" s="41">
        <v>43497</v>
      </c>
      <c r="D25" s="41">
        <v>43438</v>
      </c>
      <c r="E25" s="42">
        <v>152.82333299999999</v>
      </c>
    </row>
    <row r="26" spans="1:5" x14ac:dyDescent="0.25">
      <c r="A26" t="s">
        <v>465</v>
      </c>
      <c r="B26" t="s">
        <v>466</v>
      </c>
      <c r="C26" s="41">
        <v>43503</v>
      </c>
      <c r="D26" s="41">
        <v>43425</v>
      </c>
      <c r="E26" s="42">
        <v>144.54499999999999</v>
      </c>
    </row>
    <row r="27" spans="1:5" x14ac:dyDescent="0.25">
      <c r="A27" t="s">
        <v>467</v>
      </c>
      <c r="B27" t="s">
        <v>468</v>
      </c>
      <c r="C27" s="41">
        <v>43563</v>
      </c>
      <c r="D27" s="41">
        <v>43543</v>
      </c>
      <c r="E27" s="42">
        <v>132.16249999999999</v>
      </c>
    </row>
    <row r="28" spans="1:5" x14ac:dyDescent="0.25">
      <c r="A28" t="s">
        <v>469</v>
      </c>
      <c r="B28" t="s">
        <v>470</v>
      </c>
      <c r="C28" s="41">
        <v>43584</v>
      </c>
      <c r="D28" s="41">
        <v>43242</v>
      </c>
      <c r="E28" s="42">
        <v>188.88</v>
      </c>
    </row>
    <row r="29" spans="1:5" x14ac:dyDescent="0.25">
      <c r="A29" t="s">
        <v>471</v>
      </c>
      <c r="B29" t="s">
        <v>472</v>
      </c>
      <c r="C29" s="41">
        <v>43592</v>
      </c>
      <c r="D29" s="41">
        <v>43556</v>
      </c>
      <c r="E29" s="42">
        <v>886.404</v>
      </c>
    </row>
    <row r="30" spans="1:5" x14ac:dyDescent="0.25">
      <c r="A30" t="s">
        <v>473</v>
      </c>
      <c r="B30" t="s">
        <v>474</v>
      </c>
      <c r="C30" s="41">
        <v>43593</v>
      </c>
      <c r="D30" s="41">
        <v>43570</v>
      </c>
      <c r="E30" s="42">
        <v>1069.6916670000001</v>
      </c>
    </row>
    <row r="31" spans="1:5" x14ac:dyDescent="0.25">
      <c r="A31" t="s">
        <v>475</v>
      </c>
      <c r="B31" t="s">
        <v>476</v>
      </c>
      <c r="C31" s="41">
        <v>43594</v>
      </c>
      <c r="D31" s="41">
        <v>43588</v>
      </c>
      <c r="E31" s="42">
        <v>618.28399999999999</v>
      </c>
    </row>
    <row r="32" spans="1:5" x14ac:dyDescent="0.25">
      <c r="A32" t="s">
        <v>477</v>
      </c>
      <c r="B32" t="s">
        <v>478</v>
      </c>
      <c r="C32" s="41">
        <v>43621</v>
      </c>
      <c r="D32" s="41">
        <v>43469</v>
      </c>
      <c r="E32" s="42">
        <v>284.01</v>
      </c>
    </row>
    <row r="33" spans="1:5" x14ac:dyDescent="0.25">
      <c r="A33" t="s">
        <v>479</v>
      </c>
      <c r="B33" t="s">
        <v>480</v>
      </c>
      <c r="C33" s="41">
        <v>43637</v>
      </c>
      <c r="D33" s="41">
        <v>43633</v>
      </c>
      <c r="E33" s="42">
        <v>529.95000000000005</v>
      </c>
    </row>
    <row r="34" spans="1:5" x14ac:dyDescent="0.25">
      <c r="A34" t="s">
        <v>481</v>
      </c>
      <c r="B34" t="s">
        <v>482</v>
      </c>
      <c r="C34" s="41">
        <v>43641</v>
      </c>
      <c r="D34" s="41">
        <v>43557</v>
      </c>
      <c r="E34" s="42">
        <v>712.39565200000004</v>
      </c>
    </row>
    <row r="35" spans="1:5" x14ac:dyDescent="0.25">
      <c r="A35" t="s">
        <v>483</v>
      </c>
      <c r="B35" t="s">
        <v>484</v>
      </c>
      <c r="C35" s="41">
        <v>43644</v>
      </c>
      <c r="D35" s="41">
        <v>43630</v>
      </c>
      <c r="E35" s="42">
        <v>913.32</v>
      </c>
    </row>
    <row r="36" spans="1:5" x14ac:dyDescent="0.25">
      <c r="A36" t="s">
        <v>485</v>
      </c>
      <c r="B36" t="s">
        <v>486</v>
      </c>
      <c r="C36" s="41">
        <v>43654</v>
      </c>
      <c r="D36" s="41">
        <v>43434</v>
      </c>
      <c r="E36" s="42">
        <v>521.70000000000005</v>
      </c>
    </row>
    <row r="37" spans="1:5" x14ac:dyDescent="0.25">
      <c r="A37" t="s">
        <v>487</v>
      </c>
      <c r="B37" t="s">
        <v>488</v>
      </c>
      <c r="C37" s="41">
        <v>43657</v>
      </c>
      <c r="D37" s="41">
        <v>43619</v>
      </c>
      <c r="E37" s="42">
        <v>696.46</v>
      </c>
    </row>
    <row r="38" spans="1:5" x14ac:dyDescent="0.25">
      <c r="A38" t="s">
        <v>489</v>
      </c>
      <c r="B38" t="s">
        <v>490</v>
      </c>
      <c r="C38" s="41">
        <v>43663</v>
      </c>
      <c r="D38" s="41">
        <v>43648</v>
      </c>
      <c r="E38" s="42">
        <v>685.78250000000003</v>
      </c>
    </row>
    <row r="39" spans="1:5" x14ac:dyDescent="0.25">
      <c r="A39" t="s">
        <v>491</v>
      </c>
      <c r="B39" t="s">
        <v>492</v>
      </c>
      <c r="C39" s="41">
        <v>43665</v>
      </c>
      <c r="D39" s="41">
        <v>43656</v>
      </c>
      <c r="E39" s="42">
        <v>239.62</v>
      </c>
    </row>
    <row r="40" spans="1:5" x14ac:dyDescent="0.25">
      <c r="A40" t="s">
        <v>493</v>
      </c>
      <c r="B40" t="s">
        <v>494</v>
      </c>
      <c r="C40" s="41">
        <v>43674</v>
      </c>
      <c r="D40" s="41">
        <v>43391</v>
      </c>
      <c r="E40" s="42">
        <v>250.05500000000001</v>
      </c>
    </row>
    <row r="41" spans="1:5" x14ac:dyDescent="0.25">
      <c r="A41" t="s">
        <v>495</v>
      </c>
      <c r="B41" t="s">
        <v>496</v>
      </c>
      <c r="C41" s="41">
        <v>43679</v>
      </c>
      <c r="D41" s="41">
        <v>43648</v>
      </c>
      <c r="E41" s="42">
        <v>905.15666699999997</v>
      </c>
    </row>
    <row r="42" spans="1:5" x14ac:dyDescent="0.25">
      <c r="A42" t="s">
        <v>497</v>
      </c>
      <c r="B42" t="s">
        <v>498</v>
      </c>
      <c r="C42" s="41">
        <v>43690</v>
      </c>
      <c r="D42" s="41">
        <v>43668</v>
      </c>
      <c r="E42" s="42">
        <v>621.04250000000002</v>
      </c>
    </row>
    <row r="43" spans="1:5" x14ac:dyDescent="0.25">
      <c r="A43" t="s">
        <v>499</v>
      </c>
      <c r="B43" t="s">
        <v>500</v>
      </c>
      <c r="C43" s="41">
        <v>43719</v>
      </c>
      <c r="D43" s="41">
        <v>43711</v>
      </c>
      <c r="E43" s="42">
        <v>622.13499999999999</v>
      </c>
    </row>
    <row r="44" spans="1:5" x14ac:dyDescent="0.25">
      <c r="A44" t="s">
        <v>501</v>
      </c>
      <c r="B44" t="s">
        <v>502</v>
      </c>
      <c r="C44" s="41">
        <v>43726</v>
      </c>
      <c r="D44" s="41">
        <v>43714</v>
      </c>
      <c r="E44" s="42">
        <v>742.19333300000005</v>
      </c>
    </row>
    <row r="45" spans="1:5" x14ac:dyDescent="0.25">
      <c r="A45" t="s">
        <v>503</v>
      </c>
      <c r="B45" t="s">
        <v>504</v>
      </c>
      <c r="C45" s="41">
        <v>43728</v>
      </c>
      <c r="D45" s="41">
        <v>43720</v>
      </c>
      <c r="E45" s="42">
        <v>1333.54</v>
      </c>
    </row>
    <row r="46" spans="1:5" x14ac:dyDescent="0.25">
      <c r="A46" t="s">
        <v>505</v>
      </c>
      <c r="B46" t="s">
        <v>506</v>
      </c>
      <c r="C46" s="41">
        <v>43756</v>
      </c>
      <c r="D46" s="41">
        <v>43752</v>
      </c>
      <c r="E46" s="42">
        <v>434.07</v>
      </c>
    </row>
    <row r="47" spans="1:5" x14ac:dyDescent="0.25">
      <c r="A47" t="s">
        <v>507</v>
      </c>
      <c r="B47" t="s">
        <v>508</v>
      </c>
      <c r="C47" s="41">
        <v>43757</v>
      </c>
      <c r="D47" s="41">
        <v>43745</v>
      </c>
      <c r="E47" s="42">
        <v>807.63625000000002</v>
      </c>
    </row>
    <row r="48" spans="1:5" x14ac:dyDescent="0.25">
      <c r="A48" t="s">
        <v>509</v>
      </c>
      <c r="B48" t="s">
        <v>510</v>
      </c>
      <c r="C48" s="41">
        <v>43760</v>
      </c>
      <c r="D48" s="41">
        <v>43748</v>
      </c>
      <c r="E48" s="42">
        <v>548.91</v>
      </c>
    </row>
    <row r="49" spans="1:5" x14ac:dyDescent="0.25">
      <c r="A49" t="s">
        <v>511</v>
      </c>
      <c r="B49" t="s">
        <v>512</v>
      </c>
      <c r="C49" s="41">
        <v>43760</v>
      </c>
      <c r="D49" s="41">
        <v>43735</v>
      </c>
      <c r="E49" s="42">
        <v>363.19</v>
      </c>
    </row>
    <row r="50" spans="1:5" x14ac:dyDescent="0.25">
      <c r="A50" t="s">
        <v>513</v>
      </c>
      <c r="B50" t="s">
        <v>514</v>
      </c>
      <c r="C50" s="41">
        <v>43764</v>
      </c>
      <c r="D50" s="41">
        <v>43140</v>
      </c>
      <c r="E50" s="42">
        <v>584.38</v>
      </c>
    </row>
    <row r="51" spans="1:5" x14ac:dyDescent="0.25">
      <c r="A51" t="s">
        <v>515</v>
      </c>
      <c r="B51" t="s">
        <v>516</v>
      </c>
      <c r="C51" s="41">
        <v>43767</v>
      </c>
      <c r="D51" s="41">
        <v>43754</v>
      </c>
      <c r="E51" s="42">
        <v>440.07</v>
      </c>
    </row>
    <row r="52" spans="1:5" x14ac:dyDescent="0.25">
      <c r="A52" t="s">
        <v>517</v>
      </c>
      <c r="B52" t="s">
        <v>518</v>
      </c>
      <c r="C52" s="41">
        <v>43774</v>
      </c>
      <c r="D52" s="41">
        <v>43766</v>
      </c>
      <c r="E52" s="42">
        <v>765.14</v>
      </c>
    </row>
    <row r="53" spans="1:5" x14ac:dyDescent="0.25">
      <c r="A53" t="s">
        <v>519</v>
      </c>
      <c r="B53" t="s">
        <v>520</v>
      </c>
      <c r="C53" s="41">
        <v>43776</v>
      </c>
      <c r="D53" s="41">
        <v>43753</v>
      </c>
      <c r="E53" s="42">
        <v>1165.492857</v>
      </c>
    </row>
    <row r="54" spans="1:5" x14ac:dyDescent="0.25">
      <c r="A54" t="s">
        <v>521</v>
      </c>
      <c r="B54" t="s">
        <v>522</v>
      </c>
      <c r="C54" s="41">
        <v>43777</v>
      </c>
      <c r="D54" s="41">
        <v>43752</v>
      </c>
      <c r="E54" s="42">
        <v>640.70766700000001</v>
      </c>
    </row>
    <row r="55" spans="1:5" x14ac:dyDescent="0.25">
      <c r="A55" t="s">
        <v>523</v>
      </c>
      <c r="B55" t="s">
        <v>524</v>
      </c>
      <c r="C55" s="41">
        <v>43780</v>
      </c>
      <c r="D55" s="41">
        <v>43747</v>
      </c>
      <c r="E55" s="42">
        <v>977.66</v>
      </c>
    </row>
    <row r="56" spans="1:5" x14ac:dyDescent="0.25">
      <c r="A56" t="s">
        <v>525</v>
      </c>
      <c r="B56" t="s">
        <v>526</v>
      </c>
      <c r="C56" s="41">
        <v>43782</v>
      </c>
      <c r="D56" s="41">
        <v>43767</v>
      </c>
      <c r="E56" s="42">
        <v>1552.385</v>
      </c>
    </row>
    <row r="57" spans="1:5" x14ac:dyDescent="0.25">
      <c r="A57" t="s">
        <v>527</v>
      </c>
      <c r="B57" t="s">
        <v>528</v>
      </c>
      <c r="C57" s="41">
        <v>43785</v>
      </c>
      <c r="D57" s="41">
        <v>43700</v>
      </c>
      <c r="E57" s="42">
        <v>418.28287899999998</v>
      </c>
    </row>
    <row r="58" spans="1:5" x14ac:dyDescent="0.25">
      <c r="A58" t="s">
        <v>529</v>
      </c>
      <c r="B58" t="s">
        <v>530</v>
      </c>
      <c r="C58" s="41">
        <v>43787</v>
      </c>
      <c r="D58" s="41">
        <v>43733</v>
      </c>
      <c r="E58" s="42">
        <v>612.70000000000005</v>
      </c>
    </row>
    <row r="59" spans="1:5" x14ac:dyDescent="0.25">
      <c r="A59" t="s">
        <v>531</v>
      </c>
      <c r="B59" t="s">
        <v>532</v>
      </c>
      <c r="C59" s="41">
        <v>43788</v>
      </c>
      <c r="D59" s="41">
        <v>43776</v>
      </c>
      <c r="E59" s="42">
        <v>557.64444400000002</v>
      </c>
    </row>
    <row r="60" spans="1:5" x14ac:dyDescent="0.25">
      <c r="A60" t="s">
        <v>533</v>
      </c>
      <c r="B60" t="s">
        <v>534</v>
      </c>
      <c r="C60" s="41">
        <v>43789</v>
      </c>
      <c r="D60" s="41">
        <v>43780</v>
      </c>
      <c r="E60" s="42">
        <v>308.68400000000003</v>
      </c>
    </row>
    <row r="61" spans="1:5" x14ac:dyDescent="0.25">
      <c r="A61" t="s">
        <v>535</v>
      </c>
      <c r="B61" t="s">
        <v>536</v>
      </c>
      <c r="C61" s="41">
        <v>43791</v>
      </c>
      <c r="D61" s="41">
        <v>43775</v>
      </c>
      <c r="E61" s="42">
        <v>422.828776</v>
      </c>
    </row>
    <row r="62" spans="1:5" x14ac:dyDescent="0.25">
      <c r="A62" t="s">
        <v>537</v>
      </c>
      <c r="B62" t="s">
        <v>538</v>
      </c>
      <c r="C62" s="41">
        <v>43791</v>
      </c>
      <c r="D62" s="41">
        <v>43782</v>
      </c>
      <c r="E62" s="42">
        <v>1091.8978259999999</v>
      </c>
    </row>
    <row r="63" spans="1:5" x14ac:dyDescent="0.25">
      <c r="A63" t="s">
        <v>539</v>
      </c>
      <c r="B63" t="s">
        <v>540</v>
      </c>
      <c r="C63" s="41">
        <v>43816</v>
      </c>
      <c r="D63" s="41">
        <v>43795</v>
      </c>
      <c r="E63" s="42">
        <v>818.46500000000003</v>
      </c>
    </row>
    <row r="64" spans="1:5" x14ac:dyDescent="0.25">
      <c r="A64" t="s">
        <v>541</v>
      </c>
      <c r="B64" t="s">
        <v>542</v>
      </c>
      <c r="C64" s="41">
        <v>43817</v>
      </c>
      <c r="D64" s="41">
        <v>43812</v>
      </c>
      <c r="E64" s="42">
        <v>306.73500000000001</v>
      </c>
    </row>
    <row r="65" spans="1:5" x14ac:dyDescent="0.25">
      <c r="A65" t="s">
        <v>543</v>
      </c>
      <c r="B65" t="s">
        <v>544</v>
      </c>
      <c r="C65" s="41">
        <v>43822</v>
      </c>
      <c r="D65" s="41">
        <v>43796</v>
      </c>
      <c r="E65" s="42">
        <v>485.27589699999999</v>
      </c>
    </row>
    <row r="66" spans="1:5" x14ac:dyDescent="0.25">
      <c r="A66" t="s">
        <v>545</v>
      </c>
      <c r="B66" t="s">
        <v>546</v>
      </c>
      <c r="C66" s="41">
        <v>43832</v>
      </c>
      <c r="D66" s="41">
        <v>43767</v>
      </c>
      <c r="E66" s="42">
        <v>735.26</v>
      </c>
    </row>
    <row r="67" spans="1:5" x14ac:dyDescent="0.25">
      <c r="A67" t="s">
        <v>547</v>
      </c>
      <c r="B67" t="s">
        <v>548</v>
      </c>
      <c r="C67" s="41">
        <v>43837</v>
      </c>
      <c r="D67" s="41">
        <v>43832</v>
      </c>
      <c r="E67" s="42">
        <v>3574.87</v>
      </c>
    </row>
    <row r="68" spans="1:5" x14ac:dyDescent="0.25">
      <c r="A68" t="s">
        <v>549</v>
      </c>
      <c r="B68" t="s">
        <v>550</v>
      </c>
      <c r="C68" s="41">
        <v>43840</v>
      </c>
      <c r="D68" s="41">
        <v>43836</v>
      </c>
      <c r="E68" s="42">
        <v>1403.6833329999999</v>
      </c>
    </row>
    <row r="69" spans="1:5" x14ac:dyDescent="0.25">
      <c r="A69" t="s">
        <v>551</v>
      </c>
      <c r="B69" t="s">
        <v>552</v>
      </c>
      <c r="C69" s="41">
        <v>43840</v>
      </c>
      <c r="D69" s="41">
        <v>43832</v>
      </c>
      <c r="E69" s="42">
        <v>1182.5788889999999</v>
      </c>
    </row>
    <row r="70" spans="1:5" x14ac:dyDescent="0.25">
      <c r="A70" t="s">
        <v>553</v>
      </c>
      <c r="B70" t="s">
        <v>554</v>
      </c>
      <c r="C70" s="41">
        <v>43844</v>
      </c>
      <c r="D70" s="41">
        <v>43843</v>
      </c>
      <c r="E70" s="42">
        <v>1502.92</v>
      </c>
    </row>
    <row r="71" spans="1:5" x14ac:dyDescent="0.25">
      <c r="A71" t="s">
        <v>555</v>
      </c>
      <c r="B71" t="s">
        <v>556</v>
      </c>
      <c r="C71" s="41">
        <v>43845</v>
      </c>
      <c r="D71" s="41">
        <v>43829</v>
      </c>
      <c r="E71" s="42">
        <v>645.753333</v>
      </c>
    </row>
    <row r="72" spans="1:5" x14ac:dyDescent="0.25">
      <c r="A72" t="s">
        <v>557</v>
      </c>
      <c r="B72" t="s">
        <v>558</v>
      </c>
      <c r="C72" s="41">
        <v>43854</v>
      </c>
      <c r="D72" s="41">
        <v>43851</v>
      </c>
      <c r="E72" s="42">
        <v>306.89111100000002</v>
      </c>
    </row>
    <row r="73" spans="1:5" x14ac:dyDescent="0.25">
      <c r="A73" t="s">
        <v>559</v>
      </c>
      <c r="B73" t="s">
        <v>560</v>
      </c>
      <c r="C73" s="41">
        <v>43872</v>
      </c>
      <c r="D73" s="41">
        <v>43859</v>
      </c>
      <c r="E73" s="42">
        <v>661.49615400000005</v>
      </c>
    </row>
    <row r="74" spans="1:5" x14ac:dyDescent="0.25">
      <c r="A74" t="s">
        <v>561</v>
      </c>
      <c r="B74" t="s">
        <v>562</v>
      </c>
      <c r="C74" s="41">
        <v>43872</v>
      </c>
      <c r="D74" s="41">
        <v>43865</v>
      </c>
      <c r="E74" s="42">
        <v>651.746667</v>
      </c>
    </row>
    <row r="75" spans="1:5" x14ac:dyDescent="0.25">
      <c r="A75" t="s">
        <v>563</v>
      </c>
      <c r="B75" t="s">
        <v>564</v>
      </c>
      <c r="C75" s="41">
        <v>43872</v>
      </c>
      <c r="D75" s="41">
        <v>43866</v>
      </c>
      <c r="E75" s="42">
        <v>1154.298182</v>
      </c>
    </row>
    <row r="76" spans="1:5" x14ac:dyDescent="0.25">
      <c r="A76" t="s">
        <v>565</v>
      </c>
      <c r="B76" t="s">
        <v>566</v>
      </c>
      <c r="C76" s="41">
        <v>43873</v>
      </c>
      <c r="D76" s="41">
        <v>43866</v>
      </c>
      <c r="E76" s="42">
        <v>1149.02</v>
      </c>
    </row>
    <row r="77" spans="1:5" x14ac:dyDescent="0.25">
      <c r="A77" t="s">
        <v>567</v>
      </c>
      <c r="B77" t="s">
        <v>568</v>
      </c>
      <c r="C77" s="41">
        <v>43873</v>
      </c>
      <c r="D77" s="41">
        <v>43860</v>
      </c>
      <c r="E77" s="42">
        <v>793.92087000000004</v>
      </c>
    </row>
    <row r="78" spans="1:5" x14ac:dyDescent="0.25">
      <c r="A78" t="s">
        <v>569</v>
      </c>
      <c r="B78" t="s">
        <v>570</v>
      </c>
      <c r="C78" s="41">
        <v>43875</v>
      </c>
      <c r="D78" s="41">
        <v>43868</v>
      </c>
      <c r="E78" s="42">
        <v>1380.814948</v>
      </c>
    </row>
    <row r="79" spans="1:5" x14ac:dyDescent="0.25">
      <c r="A79" t="s">
        <v>571</v>
      </c>
      <c r="B79" t="s">
        <v>572</v>
      </c>
      <c r="C79" s="41">
        <v>43875</v>
      </c>
      <c r="D79" s="41">
        <v>43866</v>
      </c>
      <c r="E79" s="42">
        <v>1051.0136359999999</v>
      </c>
    </row>
    <row r="80" spans="1:5" x14ac:dyDescent="0.25">
      <c r="A80" t="s">
        <v>573</v>
      </c>
      <c r="B80" t="s">
        <v>574</v>
      </c>
      <c r="C80" s="41">
        <v>43882</v>
      </c>
      <c r="D80" s="41">
        <v>43874</v>
      </c>
      <c r="E80" s="42">
        <v>836.621667</v>
      </c>
    </row>
    <row r="81" spans="1:5" x14ac:dyDescent="0.25">
      <c r="A81" t="s">
        <v>575</v>
      </c>
      <c r="B81" t="s">
        <v>576</v>
      </c>
      <c r="C81" s="41">
        <v>43889</v>
      </c>
      <c r="D81" s="41">
        <v>43886</v>
      </c>
      <c r="E81" s="42">
        <v>1107.9340910000001</v>
      </c>
    </row>
    <row r="82" spans="1:5" x14ac:dyDescent="0.25">
      <c r="A82" t="s">
        <v>577</v>
      </c>
      <c r="B82" t="s">
        <v>578</v>
      </c>
      <c r="C82" s="41">
        <v>43890</v>
      </c>
      <c r="D82" s="41">
        <v>43887</v>
      </c>
      <c r="E82" s="42">
        <v>319.18</v>
      </c>
    </row>
    <row r="83" spans="1:5" x14ac:dyDescent="0.25">
      <c r="A83" t="s">
        <v>579</v>
      </c>
      <c r="B83" t="s">
        <v>580</v>
      </c>
      <c r="C83" s="41">
        <v>43890</v>
      </c>
      <c r="D83" s="41">
        <v>43886</v>
      </c>
      <c r="E83" s="42">
        <v>684.08333300000004</v>
      </c>
    </row>
    <row r="84" spans="1:5" x14ac:dyDescent="0.25">
      <c r="A84" t="s">
        <v>581</v>
      </c>
      <c r="B84" t="s">
        <v>582</v>
      </c>
      <c r="C84" s="41">
        <v>43896</v>
      </c>
      <c r="D84" s="41">
        <v>43889</v>
      </c>
      <c r="E84" s="42">
        <v>1419.7666670000001</v>
      </c>
    </row>
    <row r="85" spans="1:5" x14ac:dyDescent="0.25">
      <c r="A85" t="s">
        <v>583</v>
      </c>
      <c r="B85" t="s">
        <v>584</v>
      </c>
      <c r="C85" s="41">
        <v>43896</v>
      </c>
      <c r="D85" s="41">
        <v>43889</v>
      </c>
      <c r="E85" s="42">
        <v>1315.163333</v>
      </c>
    </row>
    <row r="86" spans="1:5" x14ac:dyDescent="0.25">
      <c r="A86" t="s">
        <v>585</v>
      </c>
      <c r="B86" t="s">
        <v>586</v>
      </c>
      <c r="C86" s="41">
        <v>43897</v>
      </c>
      <c r="D86" s="41">
        <v>43819</v>
      </c>
      <c r="E86" s="42">
        <v>2765.51</v>
      </c>
    </row>
    <row r="87" spans="1:5" x14ac:dyDescent="0.25">
      <c r="A87" t="s">
        <v>587</v>
      </c>
      <c r="B87" t="s">
        <v>588</v>
      </c>
      <c r="C87" s="41">
        <v>43900</v>
      </c>
      <c r="D87" s="41">
        <v>43887</v>
      </c>
      <c r="E87" s="42">
        <v>2797.33</v>
      </c>
    </row>
    <row r="88" spans="1:5" x14ac:dyDescent="0.25">
      <c r="A88" t="s">
        <v>589</v>
      </c>
      <c r="B88" t="s">
        <v>590</v>
      </c>
      <c r="C88" s="41">
        <v>43903</v>
      </c>
      <c r="D88" s="41">
        <v>43900</v>
      </c>
      <c r="E88" s="42">
        <v>1199.3499999999999</v>
      </c>
    </row>
    <row r="89" spans="1:5" x14ac:dyDescent="0.25">
      <c r="A89" t="s">
        <v>591</v>
      </c>
      <c r="B89" t="s">
        <v>592</v>
      </c>
      <c r="C89" s="41">
        <v>43904</v>
      </c>
      <c r="D89" s="41">
        <v>43894</v>
      </c>
      <c r="E89" s="42">
        <v>1189.21875</v>
      </c>
    </row>
    <row r="90" spans="1:5" x14ac:dyDescent="0.25">
      <c r="A90" t="s">
        <v>593</v>
      </c>
      <c r="B90" t="s">
        <v>594</v>
      </c>
      <c r="C90" s="41">
        <v>43904</v>
      </c>
      <c r="D90" s="41">
        <v>43896</v>
      </c>
      <c r="E90" s="42">
        <v>1276.5409999999999</v>
      </c>
    </row>
    <row r="91" spans="1:5" x14ac:dyDescent="0.25">
      <c r="A91" t="s">
        <v>595</v>
      </c>
      <c r="B91" t="s">
        <v>596</v>
      </c>
      <c r="C91" s="41">
        <v>44009</v>
      </c>
      <c r="D91" s="41">
        <v>43906</v>
      </c>
      <c r="E91" s="42">
        <v>98.954999999999998</v>
      </c>
    </row>
    <row r="92" spans="1:5" x14ac:dyDescent="0.25">
      <c r="A92" t="s">
        <v>597</v>
      </c>
      <c r="B92" t="s">
        <v>598</v>
      </c>
      <c r="C92" s="41">
        <v>44009</v>
      </c>
      <c r="D92" s="41">
        <v>43894</v>
      </c>
      <c r="E92" s="42">
        <v>2075.1438459999999</v>
      </c>
    </row>
    <row r="93" spans="1:5" x14ac:dyDescent="0.25">
      <c r="A93" t="s">
        <v>599</v>
      </c>
      <c r="B93" t="s">
        <v>600</v>
      </c>
      <c r="C93" s="41">
        <v>44009</v>
      </c>
      <c r="D93" s="41">
        <v>43902</v>
      </c>
      <c r="E93" s="42">
        <v>1151.3399999999999</v>
      </c>
    </row>
    <row r="94" spans="1:5" x14ac:dyDescent="0.25">
      <c r="A94" t="s">
        <v>601</v>
      </c>
      <c r="B94" t="s">
        <v>602</v>
      </c>
      <c r="C94" s="41">
        <v>44009</v>
      </c>
      <c r="D94" s="41">
        <v>43941</v>
      </c>
      <c r="E94" s="42">
        <v>2373.25</v>
      </c>
    </row>
    <row r="95" spans="1:5" x14ac:dyDescent="0.25">
      <c r="A95" t="s">
        <v>603</v>
      </c>
      <c r="B95" t="s">
        <v>604</v>
      </c>
      <c r="C95" s="41">
        <v>44013</v>
      </c>
      <c r="D95" s="41">
        <v>43900</v>
      </c>
      <c r="E95" s="42">
        <v>1193.57</v>
      </c>
    </row>
    <row r="96" spans="1:5" x14ac:dyDescent="0.25">
      <c r="A96" t="s">
        <v>605</v>
      </c>
      <c r="B96" t="s">
        <v>606</v>
      </c>
      <c r="C96" s="41">
        <v>44014</v>
      </c>
      <c r="D96" s="41">
        <v>43896</v>
      </c>
      <c r="E96" s="42">
        <v>1440.9966669999999</v>
      </c>
    </row>
    <row r="97" spans="1:5" x14ac:dyDescent="0.25">
      <c r="A97" t="s">
        <v>607</v>
      </c>
      <c r="B97" t="s">
        <v>608</v>
      </c>
      <c r="C97" s="41">
        <v>44016</v>
      </c>
      <c r="D97" s="41">
        <v>44014</v>
      </c>
      <c r="E97" s="42">
        <v>325.80333300000001</v>
      </c>
    </row>
    <row r="98" spans="1:5" x14ac:dyDescent="0.25">
      <c r="A98" t="s">
        <v>609</v>
      </c>
      <c r="B98" t="s">
        <v>610</v>
      </c>
      <c r="C98" s="41">
        <v>44019</v>
      </c>
      <c r="D98" s="41">
        <v>43902</v>
      </c>
      <c r="E98" s="42">
        <v>2829.393333</v>
      </c>
    </row>
    <row r="99" spans="1:5" x14ac:dyDescent="0.25">
      <c r="A99" t="s">
        <v>611</v>
      </c>
      <c r="B99" t="s">
        <v>612</v>
      </c>
      <c r="C99" s="41">
        <v>44020</v>
      </c>
      <c r="D99" s="41">
        <v>43943</v>
      </c>
      <c r="E99" s="42">
        <v>421.6275</v>
      </c>
    </row>
    <row r="100" spans="1:5" x14ac:dyDescent="0.25">
      <c r="A100" t="s">
        <v>613</v>
      </c>
      <c r="B100" t="s">
        <v>614</v>
      </c>
      <c r="C100" s="41">
        <v>44021</v>
      </c>
      <c r="D100" s="41">
        <v>43927</v>
      </c>
      <c r="E100" s="42">
        <v>2414.7833329999999</v>
      </c>
    </row>
    <row r="101" spans="1:5" x14ac:dyDescent="0.25">
      <c r="A101" t="s">
        <v>615</v>
      </c>
      <c r="B101" t="s">
        <v>616</v>
      </c>
      <c r="C101" s="41">
        <v>44021</v>
      </c>
      <c r="D101" s="41">
        <v>43958</v>
      </c>
      <c r="E101" s="42">
        <v>2254.71</v>
      </c>
    </row>
    <row r="102" spans="1:5" x14ac:dyDescent="0.25">
      <c r="A102" t="s">
        <v>617</v>
      </c>
      <c r="B102" t="s">
        <v>618</v>
      </c>
      <c r="C102" s="41">
        <v>44026</v>
      </c>
      <c r="D102" s="41">
        <v>43752</v>
      </c>
      <c r="E102" s="42">
        <v>2807.13</v>
      </c>
    </row>
    <row r="103" spans="1:5" x14ac:dyDescent="0.25">
      <c r="A103" t="s">
        <v>619</v>
      </c>
      <c r="B103" t="s">
        <v>620</v>
      </c>
      <c r="C103" s="41">
        <v>44027</v>
      </c>
      <c r="D103" s="41">
        <v>44022</v>
      </c>
      <c r="E103" s="42">
        <v>600.92857100000003</v>
      </c>
    </row>
    <row r="104" spans="1:5" x14ac:dyDescent="0.25">
      <c r="A104" t="s">
        <v>621</v>
      </c>
      <c r="B104" t="s">
        <v>622</v>
      </c>
      <c r="C104" s="41">
        <v>44028</v>
      </c>
      <c r="D104" s="41">
        <v>44022</v>
      </c>
      <c r="E104" s="42">
        <v>1169.06</v>
      </c>
    </row>
    <row r="105" spans="1:5" x14ac:dyDescent="0.25">
      <c r="A105" t="s">
        <v>623</v>
      </c>
      <c r="B105" t="s">
        <v>624</v>
      </c>
      <c r="C105" s="41">
        <v>44028</v>
      </c>
      <c r="D105" s="41">
        <v>43816</v>
      </c>
      <c r="E105" s="42">
        <v>3525.82</v>
      </c>
    </row>
    <row r="106" spans="1:5" x14ac:dyDescent="0.25">
      <c r="A106" t="s">
        <v>625</v>
      </c>
      <c r="B106" t="s">
        <v>626</v>
      </c>
      <c r="C106" s="41">
        <v>44028</v>
      </c>
      <c r="D106" s="41">
        <v>43685</v>
      </c>
      <c r="E106" s="42">
        <v>3081.44</v>
      </c>
    </row>
    <row r="107" spans="1:5" x14ac:dyDescent="0.25">
      <c r="A107" t="s">
        <v>627</v>
      </c>
      <c r="B107" t="s">
        <v>628</v>
      </c>
      <c r="C107" s="41">
        <v>44029</v>
      </c>
      <c r="D107" s="41">
        <v>44027</v>
      </c>
      <c r="E107" s="42">
        <v>633.59887900000001</v>
      </c>
    </row>
    <row r="108" spans="1:5" x14ac:dyDescent="0.25">
      <c r="A108" t="s">
        <v>629</v>
      </c>
      <c r="B108" t="s">
        <v>630</v>
      </c>
      <c r="C108" s="41">
        <v>44029</v>
      </c>
      <c r="D108" s="41">
        <v>44027</v>
      </c>
      <c r="E108" s="42">
        <v>634.50400000000002</v>
      </c>
    </row>
    <row r="109" spans="1:5" x14ac:dyDescent="0.25">
      <c r="A109" t="s">
        <v>631</v>
      </c>
      <c r="B109" t="s">
        <v>632</v>
      </c>
      <c r="C109" s="41">
        <v>44029</v>
      </c>
      <c r="D109" s="41">
        <v>44026</v>
      </c>
      <c r="E109" s="42">
        <v>600.52</v>
      </c>
    </row>
    <row r="110" spans="1:5" x14ac:dyDescent="0.25">
      <c r="A110" t="s">
        <v>633</v>
      </c>
      <c r="B110" t="s">
        <v>634</v>
      </c>
      <c r="C110" s="41">
        <v>44029</v>
      </c>
      <c r="D110" s="41">
        <v>44022</v>
      </c>
      <c r="E110" s="42">
        <v>541.62</v>
      </c>
    </row>
    <row r="111" spans="1:5" x14ac:dyDescent="0.25">
      <c r="A111" t="s">
        <v>635</v>
      </c>
      <c r="B111" t="s">
        <v>636</v>
      </c>
      <c r="C111" s="41">
        <v>44030</v>
      </c>
      <c r="D111" s="41">
        <v>44026</v>
      </c>
      <c r="E111" s="42">
        <v>599.34199999999998</v>
      </c>
    </row>
    <row r="112" spans="1:5" x14ac:dyDescent="0.25">
      <c r="A112" t="s">
        <v>637</v>
      </c>
      <c r="B112" t="s">
        <v>638</v>
      </c>
      <c r="C112" s="41">
        <v>44034</v>
      </c>
      <c r="D112" s="41">
        <v>44026</v>
      </c>
      <c r="E112" s="42">
        <v>599.21</v>
      </c>
    </row>
    <row r="113" spans="1:5" x14ac:dyDescent="0.25">
      <c r="A113" t="s">
        <v>639</v>
      </c>
      <c r="B113" t="s">
        <v>640</v>
      </c>
      <c r="C113" s="41">
        <v>44036</v>
      </c>
      <c r="D113" s="41">
        <v>43700</v>
      </c>
      <c r="E113" s="42">
        <v>417.17500000000001</v>
      </c>
    </row>
    <row r="114" spans="1:5" x14ac:dyDescent="0.25">
      <c r="A114" t="s">
        <v>641</v>
      </c>
      <c r="B114" t="s">
        <v>642</v>
      </c>
      <c r="C114" s="41">
        <v>44036</v>
      </c>
      <c r="D114" s="41">
        <v>43894</v>
      </c>
      <c r="E114" s="42">
        <v>1985.7</v>
      </c>
    </row>
    <row r="115" spans="1:5" x14ac:dyDescent="0.25">
      <c r="A115" t="s">
        <v>643</v>
      </c>
      <c r="B115" t="s">
        <v>644</v>
      </c>
      <c r="C115" s="41">
        <v>44044</v>
      </c>
      <c r="D115" s="41">
        <v>43901</v>
      </c>
      <c r="E115" s="42">
        <v>1274.3</v>
      </c>
    </row>
    <row r="116" spans="1:5" x14ac:dyDescent="0.25">
      <c r="A116" t="s">
        <v>645</v>
      </c>
      <c r="B116" t="s">
        <v>646</v>
      </c>
      <c r="C116" s="41">
        <v>42318</v>
      </c>
      <c r="D116" s="41">
        <v>42305</v>
      </c>
      <c r="E116" s="42">
        <v>234.38333299999999</v>
      </c>
    </row>
    <row r="117" spans="1:5" x14ac:dyDescent="0.25">
      <c r="A117" t="s">
        <v>647</v>
      </c>
      <c r="B117" t="s">
        <v>648</v>
      </c>
      <c r="C117" s="41">
        <v>44047</v>
      </c>
      <c r="D117" s="41">
        <v>44041</v>
      </c>
      <c r="E117" s="42">
        <v>634.73198400000001</v>
      </c>
    </row>
    <row r="118" spans="1:5" x14ac:dyDescent="0.25">
      <c r="A118" t="s">
        <v>649</v>
      </c>
      <c r="B118" t="s">
        <v>650</v>
      </c>
      <c r="C118" s="41">
        <v>44050</v>
      </c>
      <c r="D118" s="41">
        <v>44041</v>
      </c>
      <c r="E118" s="42">
        <v>653.00616000000002</v>
      </c>
    </row>
    <row r="119" spans="1:5" x14ac:dyDescent="0.25">
      <c r="A119" t="s">
        <v>651</v>
      </c>
      <c r="B119" t="s">
        <v>652</v>
      </c>
      <c r="C119" s="41">
        <v>44057</v>
      </c>
      <c r="D119" s="41">
        <v>44056</v>
      </c>
      <c r="E119" s="42">
        <v>459.77</v>
      </c>
    </row>
    <row r="120" spans="1:5" x14ac:dyDescent="0.25">
      <c r="A120" t="s">
        <v>653</v>
      </c>
      <c r="B120" t="s">
        <v>654</v>
      </c>
      <c r="C120" s="41">
        <v>44061</v>
      </c>
      <c r="D120" s="41">
        <v>44057</v>
      </c>
      <c r="E120" s="42">
        <v>900.12</v>
      </c>
    </row>
    <row r="121" spans="1:5" x14ac:dyDescent="0.25">
      <c r="A121" t="s">
        <v>655</v>
      </c>
      <c r="B121" t="s">
        <v>656</v>
      </c>
      <c r="C121" s="41">
        <v>44061</v>
      </c>
      <c r="D121" s="41">
        <v>43941</v>
      </c>
      <c r="E121" s="42">
        <v>2404.4825000000001</v>
      </c>
    </row>
    <row r="122" spans="1:5" x14ac:dyDescent="0.25">
      <c r="A122" t="s">
        <v>657</v>
      </c>
      <c r="B122" t="s">
        <v>658</v>
      </c>
      <c r="C122" s="41">
        <v>44061</v>
      </c>
      <c r="D122" s="41">
        <v>44057</v>
      </c>
      <c r="E122" s="42">
        <v>642.5</v>
      </c>
    </row>
    <row r="123" spans="1:5" x14ac:dyDescent="0.25">
      <c r="A123" t="s">
        <v>659</v>
      </c>
      <c r="B123" t="s">
        <v>660</v>
      </c>
      <c r="C123" s="41">
        <v>44064</v>
      </c>
      <c r="D123" s="41">
        <v>44056</v>
      </c>
      <c r="E123" s="42">
        <v>458.74</v>
      </c>
    </row>
    <row r="124" spans="1:5" x14ac:dyDescent="0.25">
      <c r="A124" t="s">
        <v>661</v>
      </c>
      <c r="B124" t="s">
        <v>662</v>
      </c>
      <c r="C124" s="41">
        <v>44065</v>
      </c>
      <c r="D124" s="41">
        <v>44057</v>
      </c>
      <c r="E124" s="42">
        <v>899.19</v>
      </c>
    </row>
    <row r="125" spans="1:5" x14ac:dyDescent="0.25">
      <c r="A125" t="s">
        <v>663</v>
      </c>
      <c r="B125" t="s">
        <v>664</v>
      </c>
      <c r="C125" s="41">
        <v>44065</v>
      </c>
      <c r="D125" s="41">
        <v>44057</v>
      </c>
      <c r="E125" s="42">
        <v>899.07</v>
      </c>
    </row>
    <row r="126" spans="1:5" x14ac:dyDescent="0.25">
      <c r="A126" t="s">
        <v>665</v>
      </c>
      <c r="B126" t="s">
        <v>666</v>
      </c>
      <c r="C126" s="41">
        <v>44065</v>
      </c>
      <c r="D126" s="41">
        <v>44057</v>
      </c>
      <c r="E126" s="42">
        <v>899.04</v>
      </c>
    </row>
    <row r="127" spans="1:5" x14ac:dyDescent="0.25">
      <c r="A127" t="s">
        <v>667</v>
      </c>
      <c r="B127" t="s">
        <v>668</v>
      </c>
      <c r="C127" s="41">
        <v>44072</v>
      </c>
      <c r="D127" s="41">
        <v>44057</v>
      </c>
      <c r="E127" s="42">
        <v>2072.83</v>
      </c>
    </row>
    <row r="128" spans="1:5" x14ac:dyDescent="0.25">
      <c r="A128" t="s">
        <v>669</v>
      </c>
      <c r="B128" t="s">
        <v>670</v>
      </c>
      <c r="C128" s="41">
        <v>44078</v>
      </c>
      <c r="D128" s="41">
        <v>44071</v>
      </c>
      <c r="E128" s="42">
        <v>897.00165100000004</v>
      </c>
    </row>
    <row r="129" spans="1:5" x14ac:dyDescent="0.25">
      <c r="A129" t="s">
        <v>671</v>
      </c>
      <c r="B129" t="s">
        <v>672</v>
      </c>
      <c r="C129" s="41">
        <v>44078</v>
      </c>
      <c r="D129" s="41">
        <v>44071</v>
      </c>
      <c r="E129" s="42">
        <v>534.62798899999996</v>
      </c>
    </row>
    <row r="130" spans="1:5" x14ac:dyDescent="0.25">
      <c r="A130" t="s">
        <v>673</v>
      </c>
      <c r="B130" t="s">
        <v>674</v>
      </c>
      <c r="C130" s="41">
        <v>44078</v>
      </c>
      <c r="D130" s="41">
        <v>44071</v>
      </c>
      <c r="E130" s="42">
        <v>642.24675200000001</v>
      </c>
    </row>
    <row r="131" spans="1:5" x14ac:dyDescent="0.25">
      <c r="A131" t="s">
        <v>675</v>
      </c>
      <c r="B131" t="s">
        <v>676</v>
      </c>
      <c r="C131" s="41">
        <v>44078</v>
      </c>
      <c r="D131" s="41">
        <v>44077</v>
      </c>
      <c r="E131" s="42">
        <v>888.55</v>
      </c>
    </row>
    <row r="132" spans="1:5" x14ac:dyDescent="0.25">
      <c r="A132" t="s">
        <v>677</v>
      </c>
      <c r="B132" t="s">
        <v>678</v>
      </c>
      <c r="C132" s="41">
        <v>44082</v>
      </c>
      <c r="D132" s="41">
        <v>44081</v>
      </c>
      <c r="E132" s="42">
        <v>643.1</v>
      </c>
    </row>
    <row r="133" spans="1:5" x14ac:dyDescent="0.25">
      <c r="A133" t="s">
        <v>679</v>
      </c>
      <c r="B133" t="s">
        <v>680</v>
      </c>
      <c r="C133" s="41">
        <v>44083</v>
      </c>
      <c r="D133" s="41">
        <v>44077</v>
      </c>
      <c r="E133" s="42">
        <v>890.8</v>
      </c>
    </row>
    <row r="134" spans="1:5" x14ac:dyDescent="0.25">
      <c r="A134" t="s">
        <v>681</v>
      </c>
      <c r="B134" t="s">
        <v>682</v>
      </c>
      <c r="C134" s="41">
        <v>44085</v>
      </c>
      <c r="D134" s="41">
        <v>44081</v>
      </c>
      <c r="E134" s="42">
        <v>356.89</v>
      </c>
    </row>
    <row r="135" spans="1:5" x14ac:dyDescent="0.25">
      <c r="A135" t="s">
        <v>683</v>
      </c>
      <c r="B135" t="s">
        <v>684</v>
      </c>
      <c r="C135" s="41">
        <v>44085</v>
      </c>
      <c r="D135" s="41">
        <v>44075</v>
      </c>
      <c r="E135" s="42">
        <v>527.91999999999996</v>
      </c>
    </row>
    <row r="136" spans="1:5" x14ac:dyDescent="0.25">
      <c r="A136" t="s">
        <v>685</v>
      </c>
      <c r="B136" t="s">
        <v>686</v>
      </c>
      <c r="C136" s="41">
        <v>44085</v>
      </c>
      <c r="D136" s="41">
        <v>44070</v>
      </c>
      <c r="E136" s="42">
        <v>723.67</v>
      </c>
    </row>
    <row r="137" spans="1:5" x14ac:dyDescent="0.25">
      <c r="A137" t="s">
        <v>687</v>
      </c>
      <c r="B137" t="s">
        <v>688</v>
      </c>
      <c r="C137" s="41">
        <v>44085</v>
      </c>
      <c r="D137" s="41">
        <v>44070</v>
      </c>
      <c r="E137" s="42">
        <v>723.67</v>
      </c>
    </row>
    <row r="138" spans="1:5" x14ac:dyDescent="0.25">
      <c r="A138" t="s">
        <v>689</v>
      </c>
      <c r="B138" t="s">
        <v>690</v>
      </c>
      <c r="C138" s="41">
        <v>44085</v>
      </c>
      <c r="D138" s="41">
        <v>44077</v>
      </c>
      <c r="E138" s="42">
        <v>1178.8599999999999</v>
      </c>
    </row>
    <row r="139" spans="1:5" x14ac:dyDescent="0.25">
      <c r="A139" t="s">
        <v>691</v>
      </c>
      <c r="B139" t="s">
        <v>692</v>
      </c>
      <c r="C139" s="41">
        <v>43803</v>
      </c>
      <c r="D139" s="41">
        <v>43678</v>
      </c>
      <c r="E139" s="42">
        <v>597.36500000000001</v>
      </c>
    </row>
    <row r="140" spans="1:5" x14ac:dyDescent="0.25">
      <c r="A140" t="s">
        <v>693</v>
      </c>
      <c r="B140" t="s">
        <v>694</v>
      </c>
      <c r="C140" s="41">
        <v>43798</v>
      </c>
      <c r="D140" s="41">
        <v>43755</v>
      </c>
      <c r="E140" s="42">
        <v>474.99152500000002</v>
      </c>
    </row>
    <row r="141" spans="1:5" x14ac:dyDescent="0.25">
      <c r="A141" t="s">
        <v>695</v>
      </c>
      <c r="B141" t="s">
        <v>696</v>
      </c>
      <c r="C141" s="41">
        <v>43614</v>
      </c>
      <c r="D141" s="41">
        <v>43525</v>
      </c>
      <c r="E141" s="42">
        <v>508.07428599999997</v>
      </c>
    </row>
    <row r="142" spans="1:5" x14ac:dyDescent="0.25">
      <c r="A142" t="s">
        <v>697</v>
      </c>
      <c r="B142" t="s">
        <v>698</v>
      </c>
      <c r="C142" s="41">
        <v>43433</v>
      </c>
      <c r="D142" s="41">
        <v>43363</v>
      </c>
      <c r="E142" s="42">
        <v>566.38873899999999</v>
      </c>
    </row>
    <row r="143" spans="1:5" x14ac:dyDescent="0.25">
      <c r="A143" t="s">
        <v>699</v>
      </c>
      <c r="B143" t="s">
        <v>700</v>
      </c>
      <c r="C143" s="41">
        <v>43687</v>
      </c>
      <c r="D143" s="41">
        <v>43683</v>
      </c>
      <c r="E143" s="42">
        <v>688.21500000000003</v>
      </c>
    </row>
    <row r="144" spans="1:5" x14ac:dyDescent="0.25">
      <c r="A144" t="s">
        <v>701</v>
      </c>
      <c r="B144" t="s">
        <v>702</v>
      </c>
      <c r="C144" s="41">
        <v>43389</v>
      </c>
      <c r="D144" s="41">
        <v>43102</v>
      </c>
      <c r="E144" s="42">
        <v>2303.191429</v>
      </c>
    </row>
    <row r="145" spans="1:5" x14ac:dyDescent="0.25">
      <c r="A145" t="s">
        <v>703</v>
      </c>
      <c r="B145" t="s">
        <v>704</v>
      </c>
      <c r="C145" s="41">
        <v>43623</v>
      </c>
      <c r="D145" s="41">
        <v>43622</v>
      </c>
      <c r="E145" s="42">
        <v>252.23500000000001</v>
      </c>
    </row>
    <row r="146" spans="1:5" x14ac:dyDescent="0.25">
      <c r="A146" t="s">
        <v>705</v>
      </c>
      <c r="B146" t="s">
        <v>706</v>
      </c>
      <c r="C146" s="41">
        <v>43580</v>
      </c>
      <c r="D146" s="41">
        <v>43382</v>
      </c>
      <c r="E146" s="42">
        <v>679.67</v>
      </c>
    </row>
    <row r="147" spans="1:5" x14ac:dyDescent="0.25">
      <c r="A147" t="s">
        <v>707</v>
      </c>
      <c r="B147" t="s">
        <v>708</v>
      </c>
      <c r="C147" s="41">
        <v>43841</v>
      </c>
      <c r="D147" s="41">
        <v>43710</v>
      </c>
      <c r="E147" s="42">
        <v>2854.9949999999999</v>
      </c>
    </row>
    <row r="148" spans="1:5" x14ac:dyDescent="0.25">
      <c r="A148" t="s">
        <v>709</v>
      </c>
      <c r="B148" t="s">
        <v>710</v>
      </c>
      <c r="C148" s="41">
        <v>43435</v>
      </c>
      <c r="D148" s="41">
        <v>43409</v>
      </c>
      <c r="E148" s="42">
        <v>304.90181799999999</v>
      </c>
    </row>
    <row r="149" spans="1:5" x14ac:dyDescent="0.25">
      <c r="A149" t="s">
        <v>711</v>
      </c>
      <c r="B149" t="s">
        <v>712</v>
      </c>
      <c r="C149" s="41">
        <v>43784</v>
      </c>
      <c r="D149" s="41">
        <v>43612</v>
      </c>
      <c r="E149" s="42">
        <v>927.32666700000004</v>
      </c>
    </row>
    <row r="150" spans="1:5" x14ac:dyDescent="0.25">
      <c r="A150" t="s">
        <v>713</v>
      </c>
      <c r="B150" t="s">
        <v>714</v>
      </c>
      <c r="C150" s="41">
        <v>43789</v>
      </c>
      <c r="D150" s="41">
        <v>43775</v>
      </c>
      <c r="E150" s="42">
        <v>356.604444</v>
      </c>
    </row>
    <row r="151" spans="1:5" x14ac:dyDescent="0.25">
      <c r="A151" t="s">
        <v>715</v>
      </c>
      <c r="B151" t="s">
        <v>716</v>
      </c>
      <c r="C151" s="41">
        <v>43551</v>
      </c>
      <c r="D151" s="41">
        <v>43518</v>
      </c>
      <c r="E151" s="42">
        <v>1662.355</v>
      </c>
    </row>
    <row r="152" spans="1:5" x14ac:dyDescent="0.25">
      <c r="A152" t="s">
        <v>717</v>
      </c>
      <c r="B152" t="s">
        <v>718</v>
      </c>
      <c r="C152" s="41">
        <v>43817</v>
      </c>
      <c r="D152" s="41">
        <v>43437</v>
      </c>
      <c r="E152" s="42">
        <v>327.24</v>
      </c>
    </row>
    <row r="153" spans="1:5" x14ac:dyDescent="0.25">
      <c r="A153" t="s">
        <v>719</v>
      </c>
      <c r="B153" t="s">
        <v>720</v>
      </c>
      <c r="C153" s="41">
        <v>43657</v>
      </c>
      <c r="D153" s="41">
        <v>43588</v>
      </c>
      <c r="E153" s="42">
        <v>2204.7040000000002</v>
      </c>
    </row>
    <row r="154" spans="1:5" x14ac:dyDescent="0.25">
      <c r="A154" t="s">
        <v>721</v>
      </c>
      <c r="B154" t="s">
        <v>722</v>
      </c>
      <c r="C154" s="41">
        <v>43263</v>
      </c>
      <c r="D154" s="41">
        <v>43098</v>
      </c>
      <c r="E154" s="42">
        <v>386.875</v>
      </c>
    </row>
    <row r="155" spans="1:5" x14ac:dyDescent="0.25">
      <c r="A155" t="s">
        <v>723</v>
      </c>
      <c r="B155" t="s">
        <v>724</v>
      </c>
      <c r="C155" s="41">
        <v>43292</v>
      </c>
      <c r="D155" s="41">
        <v>43283</v>
      </c>
      <c r="E155" s="42">
        <v>413.82</v>
      </c>
    </row>
    <row r="156" spans="1:5" x14ac:dyDescent="0.25">
      <c r="A156" t="s">
        <v>725</v>
      </c>
      <c r="B156" t="s">
        <v>726</v>
      </c>
      <c r="C156" s="41">
        <v>43764</v>
      </c>
      <c r="D156" s="41">
        <v>43349</v>
      </c>
      <c r="E156" s="42">
        <v>363.26</v>
      </c>
    </row>
    <row r="157" spans="1:5" x14ac:dyDescent="0.25">
      <c r="A157" t="s">
        <v>727</v>
      </c>
      <c r="B157" t="s">
        <v>728</v>
      </c>
      <c r="C157" s="41">
        <v>43381</v>
      </c>
      <c r="D157" s="41">
        <v>43318</v>
      </c>
      <c r="E157" s="42">
        <v>1213.47</v>
      </c>
    </row>
    <row r="158" spans="1:5" x14ac:dyDescent="0.25">
      <c r="A158" t="s">
        <v>729</v>
      </c>
      <c r="B158" t="s">
        <v>730</v>
      </c>
      <c r="C158" s="41">
        <v>43764</v>
      </c>
      <c r="D158" s="41">
        <v>42921</v>
      </c>
      <c r="E158" s="42">
        <v>472.39</v>
      </c>
    </row>
    <row r="159" spans="1:5" x14ac:dyDescent="0.25">
      <c r="A159" t="s">
        <v>731</v>
      </c>
      <c r="B159" t="s">
        <v>732</v>
      </c>
      <c r="C159" s="41">
        <v>43880</v>
      </c>
      <c r="D159" s="41">
        <v>43690</v>
      </c>
      <c r="E159" s="42">
        <v>2708.4549999999999</v>
      </c>
    </row>
    <row r="160" spans="1:5" x14ac:dyDescent="0.25">
      <c r="A160" t="s">
        <v>733</v>
      </c>
      <c r="B160" t="s">
        <v>734</v>
      </c>
      <c r="C160" s="41">
        <v>43756</v>
      </c>
      <c r="D160" s="41">
        <v>43753</v>
      </c>
      <c r="E160" s="42">
        <v>2127.9499999999998</v>
      </c>
    </row>
    <row r="161" spans="1:5" x14ac:dyDescent="0.25">
      <c r="A161" t="s">
        <v>735</v>
      </c>
      <c r="B161" t="s">
        <v>736</v>
      </c>
      <c r="C161" s="41">
        <v>43119</v>
      </c>
      <c r="D161" s="41">
        <v>43038</v>
      </c>
      <c r="E161" s="42">
        <v>2314.6750000000002</v>
      </c>
    </row>
    <row r="162" spans="1:5" x14ac:dyDescent="0.25">
      <c r="A162" t="s">
        <v>737</v>
      </c>
      <c r="B162" t="s">
        <v>738</v>
      </c>
      <c r="C162" s="41">
        <v>43434</v>
      </c>
      <c r="D162" s="41">
        <v>43350</v>
      </c>
      <c r="E162" s="42">
        <v>620.69500000000005</v>
      </c>
    </row>
    <row r="163" spans="1:5" x14ac:dyDescent="0.25">
      <c r="A163" t="s">
        <v>739</v>
      </c>
      <c r="B163" t="s">
        <v>740</v>
      </c>
      <c r="C163" s="41">
        <v>43834</v>
      </c>
      <c r="D163" s="41">
        <v>43795</v>
      </c>
      <c r="E163" s="42">
        <v>2146.9782890000001</v>
      </c>
    </row>
    <row r="164" spans="1:5" x14ac:dyDescent="0.25">
      <c r="A164" t="s">
        <v>741</v>
      </c>
      <c r="B164" t="s">
        <v>742</v>
      </c>
      <c r="C164" s="41">
        <v>43840</v>
      </c>
      <c r="D164" s="41">
        <v>43829</v>
      </c>
      <c r="E164" s="42">
        <v>638.20799999999997</v>
      </c>
    </row>
    <row r="165" spans="1:5" x14ac:dyDescent="0.25">
      <c r="A165" t="s">
        <v>743</v>
      </c>
      <c r="B165" t="s">
        <v>744</v>
      </c>
      <c r="C165" s="41">
        <v>43847</v>
      </c>
      <c r="D165" s="41">
        <v>43840</v>
      </c>
      <c r="E165" s="42">
        <v>632.82000000000005</v>
      </c>
    </row>
    <row r="166" spans="1:5" x14ac:dyDescent="0.25">
      <c r="A166" t="s">
        <v>745</v>
      </c>
      <c r="B166" t="s">
        <v>746</v>
      </c>
      <c r="C166" s="41">
        <v>43879</v>
      </c>
      <c r="D166" s="41">
        <v>43648</v>
      </c>
      <c r="E166" s="42">
        <v>696.13</v>
      </c>
    </row>
    <row r="167" spans="1:5" x14ac:dyDescent="0.25">
      <c r="A167" t="s">
        <v>747</v>
      </c>
      <c r="B167" t="s">
        <v>748</v>
      </c>
      <c r="C167" s="41">
        <v>43880</v>
      </c>
      <c r="D167" s="41">
        <v>43880</v>
      </c>
      <c r="E167" s="42">
        <v>3086.77</v>
      </c>
    </row>
    <row r="168" spans="1:5" x14ac:dyDescent="0.25">
      <c r="A168" t="s">
        <v>749</v>
      </c>
      <c r="B168" t="s">
        <v>750</v>
      </c>
      <c r="C168" s="41">
        <v>43886</v>
      </c>
      <c r="D168" s="41">
        <v>43886</v>
      </c>
      <c r="E168" s="42">
        <v>508.85</v>
      </c>
    </row>
    <row r="169" spans="1:5" x14ac:dyDescent="0.25">
      <c r="A169" t="s">
        <v>751</v>
      </c>
      <c r="B169" t="s">
        <v>752</v>
      </c>
      <c r="C169" s="41">
        <v>43885</v>
      </c>
      <c r="D169" s="41">
        <v>43885</v>
      </c>
      <c r="E169" s="42">
        <v>734.76499999999999</v>
      </c>
    </row>
    <row r="170" spans="1:5" x14ac:dyDescent="0.25">
      <c r="A170" t="s">
        <v>753</v>
      </c>
      <c r="B170" t="s">
        <v>754</v>
      </c>
      <c r="C170" s="41">
        <v>43886</v>
      </c>
      <c r="D170" s="41">
        <v>43886</v>
      </c>
      <c r="E170" s="42">
        <v>737.91</v>
      </c>
    </row>
    <row r="171" spans="1:5" x14ac:dyDescent="0.25">
      <c r="A171" t="s">
        <v>755</v>
      </c>
      <c r="B171" t="s">
        <v>756</v>
      </c>
      <c r="C171" s="41">
        <v>43318</v>
      </c>
      <c r="D171" s="41">
        <v>43318</v>
      </c>
      <c r="E171" s="42">
        <v>603.61500000000001</v>
      </c>
    </row>
    <row r="172" spans="1:5" x14ac:dyDescent="0.25">
      <c r="A172" t="s">
        <v>757</v>
      </c>
      <c r="B172" t="s">
        <v>758</v>
      </c>
      <c r="C172" s="41">
        <v>43255</v>
      </c>
      <c r="D172" s="41">
        <v>43255</v>
      </c>
      <c r="E172" s="42">
        <v>51.445</v>
      </c>
    </row>
    <row r="173" spans="1:5" x14ac:dyDescent="0.25">
      <c r="A173" t="s">
        <v>759</v>
      </c>
      <c r="B173" t="s">
        <v>760</v>
      </c>
      <c r="C173" s="41">
        <v>43780</v>
      </c>
      <c r="D173" s="41">
        <v>43780</v>
      </c>
      <c r="E173" s="42">
        <v>1742.2950000000001</v>
      </c>
    </row>
    <row r="174" spans="1:5" x14ac:dyDescent="0.25">
      <c r="A174" t="s">
        <v>761</v>
      </c>
      <c r="B174" t="s">
        <v>762</v>
      </c>
      <c r="C174" s="41">
        <v>43115</v>
      </c>
      <c r="D174" s="41">
        <v>43115</v>
      </c>
      <c r="E174" s="42">
        <v>177.03</v>
      </c>
    </row>
    <row r="175" spans="1:5" x14ac:dyDescent="0.25">
      <c r="A175" t="s">
        <v>763</v>
      </c>
      <c r="B175" t="s">
        <v>764</v>
      </c>
      <c r="C175" s="41">
        <v>43656</v>
      </c>
      <c r="D175" s="41">
        <v>43656</v>
      </c>
      <c r="E175" s="42">
        <v>212.76612900000001</v>
      </c>
    </row>
    <row r="176" spans="1:5" x14ac:dyDescent="0.25">
      <c r="A176" t="s">
        <v>765</v>
      </c>
      <c r="B176" t="s">
        <v>766</v>
      </c>
      <c r="C176" s="41">
        <v>43690</v>
      </c>
      <c r="D176" s="41">
        <v>43690</v>
      </c>
      <c r="E176" s="42">
        <v>1894.23</v>
      </c>
    </row>
    <row r="177" spans="1:5" x14ac:dyDescent="0.25">
      <c r="A177" t="s">
        <v>767</v>
      </c>
      <c r="B177" t="s">
        <v>768</v>
      </c>
      <c r="C177" s="41">
        <v>43304</v>
      </c>
      <c r="D177" s="41">
        <v>43304</v>
      </c>
      <c r="E177" s="42">
        <v>2504.4899999999998</v>
      </c>
    </row>
    <row r="178" spans="1:5" x14ac:dyDescent="0.25">
      <c r="A178" t="s">
        <v>769</v>
      </c>
      <c r="B178" t="s">
        <v>770</v>
      </c>
      <c r="C178" s="41">
        <v>43164</v>
      </c>
      <c r="D178" s="41">
        <v>43164</v>
      </c>
      <c r="E178" s="42">
        <v>1150.883333</v>
      </c>
    </row>
    <row r="179" spans="1:5" x14ac:dyDescent="0.25">
      <c r="A179" t="s">
        <v>771</v>
      </c>
      <c r="B179" t="s">
        <v>772</v>
      </c>
      <c r="C179" s="41">
        <v>43252</v>
      </c>
      <c r="D179" s="41">
        <v>43252</v>
      </c>
      <c r="E179" s="42">
        <v>49.94</v>
      </c>
    </row>
    <row r="180" spans="1:5" x14ac:dyDescent="0.25">
      <c r="A180" t="s">
        <v>773</v>
      </c>
      <c r="B180" t="s">
        <v>774</v>
      </c>
      <c r="C180" s="41">
        <v>42852</v>
      </c>
      <c r="D180" s="41">
        <v>42852</v>
      </c>
      <c r="E180" s="42">
        <v>2330.0500000000002</v>
      </c>
    </row>
    <row r="181" spans="1:5" x14ac:dyDescent="0.25">
      <c r="A181" t="s">
        <v>775</v>
      </c>
      <c r="B181" t="s">
        <v>776</v>
      </c>
      <c r="C181" s="41">
        <v>42907</v>
      </c>
      <c r="D181" s="41">
        <v>42907</v>
      </c>
      <c r="E181" s="42">
        <v>493.1</v>
      </c>
    </row>
    <row r="182" spans="1:5" x14ac:dyDescent="0.25">
      <c r="A182" t="s">
        <v>777</v>
      </c>
      <c r="B182" t="s">
        <v>778</v>
      </c>
      <c r="C182" s="41">
        <v>42982</v>
      </c>
      <c r="D182" s="41">
        <v>42982</v>
      </c>
      <c r="E182" s="42">
        <v>2125.7649999999999</v>
      </c>
    </row>
    <row r="183" spans="1:5" x14ac:dyDescent="0.25">
      <c r="A183" t="s">
        <v>779</v>
      </c>
      <c r="B183" t="s">
        <v>780</v>
      </c>
      <c r="C183" s="41">
        <v>43809</v>
      </c>
      <c r="D183" s="41">
        <v>43809</v>
      </c>
      <c r="E183" s="42">
        <v>2842.8780000000002</v>
      </c>
    </row>
    <row r="184" spans="1:5" x14ac:dyDescent="0.25">
      <c r="A184" t="s">
        <v>783</v>
      </c>
      <c r="B184" t="s">
        <v>815</v>
      </c>
      <c r="C184" s="41"/>
      <c r="D184" s="41"/>
      <c r="E184" s="42">
        <v>5</v>
      </c>
    </row>
    <row r="185" spans="1:5" x14ac:dyDescent="0.25">
      <c r="A185" t="s">
        <v>784</v>
      </c>
      <c r="B185" t="s">
        <v>816</v>
      </c>
      <c r="C185" s="41"/>
      <c r="D185" s="41"/>
      <c r="E185" s="42">
        <v>5</v>
      </c>
    </row>
    <row r="186" spans="1:5" x14ac:dyDescent="0.25">
      <c r="A186" t="s">
        <v>785</v>
      </c>
      <c r="B186" t="s">
        <v>817</v>
      </c>
      <c r="C186" s="41"/>
      <c r="D186" s="41"/>
      <c r="E186" s="42">
        <v>5</v>
      </c>
    </row>
    <row r="187" spans="1:5" x14ac:dyDescent="0.25">
      <c r="A187" t="s">
        <v>786</v>
      </c>
      <c r="B187" t="s">
        <v>818</v>
      </c>
      <c r="C187" s="41"/>
      <c r="D187" s="41"/>
      <c r="E187" s="42">
        <v>5</v>
      </c>
    </row>
    <row r="188" spans="1:5" x14ac:dyDescent="0.25">
      <c r="A188" t="s">
        <v>787</v>
      </c>
      <c r="B188" t="s">
        <v>819</v>
      </c>
      <c r="C188" s="41"/>
      <c r="D188" s="41"/>
      <c r="E188" s="42">
        <v>5</v>
      </c>
    </row>
    <row r="189" spans="1:5" x14ac:dyDescent="0.25">
      <c r="A189" t="s">
        <v>788</v>
      </c>
      <c r="B189" t="s">
        <v>820</v>
      </c>
      <c r="C189" s="41"/>
      <c r="D189" s="41"/>
      <c r="E189" s="42">
        <v>5</v>
      </c>
    </row>
    <row r="190" spans="1:5" x14ac:dyDescent="0.25">
      <c r="A190" t="s">
        <v>789</v>
      </c>
      <c r="B190" t="s">
        <v>821</v>
      </c>
      <c r="C190" s="41"/>
      <c r="D190" s="41"/>
      <c r="E190" s="42">
        <v>5</v>
      </c>
    </row>
    <row r="191" spans="1:5" x14ac:dyDescent="0.25">
      <c r="A191" t="s">
        <v>790</v>
      </c>
      <c r="B191" t="s">
        <v>822</v>
      </c>
      <c r="C191" s="41"/>
      <c r="D191" s="41"/>
      <c r="E191" s="42">
        <v>5</v>
      </c>
    </row>
    <row r="192" spans="1:5" x14ac:dyDescent="0.25">
      <c r="A192" t="s">
        <v>791</v>
      </c>
      <c r="B192" t="s">
        <v>823</v>
      </c>
      <c r="C192" s="41"/>
      <c r="D192" s="41"/>
      <c r="E192" s="42">
        <v>5</v>
      </c>
    </row>
    <row r="193" spans="1:5" x14ac:dyDescent="0.25">
      <c r="A193" t="s">
        <v>792</v>
      </c>
      <c r="B193" t="s">
        <v>824</v>
      </c>
      <c r="C193" s="41"/>
      <c r="D193" s="41"/>
      <c r="E193" s="42">
        <v>5</v>
      </c>
    </row>
    <row r="194" spans="1:5" x14ac:dyDescent="0.25">
      <c r="A194" t="s">
        <v>793</v>
      </c>
      <c r="B194" t="s">
        <v>825</v>
      </c>
      <c r="C194" s="41"/>
      <c r="D194" s="41"/>
      <c r="E194" s="42">
        <v>5</v>
      </c>
    </row>
    <row r="195" spans="1:5" x14ac:dyDescent="0.25">
      <c r="A195" t="s">
        <v>794</v>
      </c>
      <c r="B195" t="s">
        <v>826</v>
      </c>
      <c r="C195" s="41"/>
      <c r="D195" s="41"/>
      <c r="E195" s="42">
        <v>5</v>
      </c>
    </row>
    <row r="196" spans="1:5" x14ac:dyDescent="0.25">
      <c r="A196" t="s">
        <v>795</v>
      </c>
      <c r="B196" t="s">
        <v>827</v>
      </c>
      <c r="C196" s="41"/>
      <c r="D196" s="41"/>
      <c r="E196" s="42">
        <v>5</v>
      </c>
    </row>
    <row r="197" spans="1:5" x14ac:dyDescent="0.25">
      <c r="A197" t="s">
        <v>796</v>
      </c>
      <c r="B197" t="s">
        <v>828</v>
      </c>
      <c r="C197" s="41"/>
      <c r="D197" s="41"/>
      <c r="E197" s="42">
        <v>5</v>
      </c>
    </row>
    <row r="198" spans="1:5" x14ac:dyDescent="0.25">
      <c r="A198" t="s">
        <v>797</v>
      </c>
      <c r="B198" t="s">
        <v>829</v>
      </c>
      <c r="C198" s="41"/>
      <c r="D198" s="41"/>
      <c r="E198" s="42">
        <v>5</v>
      </c>
    </row>
    <row r="199" spans="1:5" x14ac:dyDescent="0.25">
      <c r="A199" t="s">
        <v>798</v>
      </c>
      <c r="B199" t="s">
        <v>830</v>
      </c>
      <c r="C199" s="41"/>
      <c r="D199" s="41"/>
      <c r="E199" s="42">
        <v>5</v>
      </c>
    </row>
    <row r="200" spans="1:5" x14ac:dyDescent="0.25">
      <c r="A200" t="s">
        <v>799</v>
      </c>
      <c r="B200" t="s">
        <v>831</v>
      </c>
      <c r="C200" s="41"/>
      <c r="D200" s="41"/>
      <c r="E200" s="42">
        <v>5</v>
      </c>
    </row>
    <row r="201" spans="1:5" x14ac:dyDescent="0.25">
      <c r="A201" t="s">
        <v>800</v>
      </c>
      <c r="B201" t="s">
        <v>832</v>
      </c>
      <c r="C201" s="41"/>
      <c r="D201" s="41"/>
      <c r="E201" s="42">
        <v>5</v>
      </c>
    </row>
    <row r="202" spans="1:5" x14ac:dyDescent="0.25">
      <c r="A202" t="s">
        <v>801</v>
      </c>
      <c r="B202" t="s">
        <v>833</v>
      </c>
      <c r="C202" s="41"/>
      <c r="D202" s="41"/>
      <c r="E202" s="42">
        <v>5</v>
      </c>
    </row>
    <row r="203" spans="1:5" x14ac:dyDescent="0.25">
      <c r="A203" t="s">
        <v>802</v>
      </c>
      <c r="B203" t="s">
        <v>834</v>
      </c>
      <c r="C203" s="41"/>
      <c r="D203" s="41"/>
      <c r="E203" s="42">
        <v>5</v>
      </c>
    </row>
    <row r="204" spans="1:5" x14ac:dyDescent="0.25">
      <c r="A204" t="s">
        <v>803</v>
      </c>
      <c r="B204" t="s">
        <v>835</v>
      </c>
      <c r="C204" s="41"/>
      <c r="D204" s="41"/>
      <c r="E204" s="42">
        <v>5</v>
      </c>
    </row>
    <row r="205" spans="1:5" x14ac:dyDescent="0.25">
      <c r="A205" t="s">
        <v>804</v>
      </c>
      <c r="B205" t="s">
        <v>836</v>
      </c>
      <c r="C205" s="41"/>
      <c r="D205" s="41"/>
      <c r="E205" s="42">
        <v>5</v>
      </c>
    </row>
    <row r="206" spans="1:5" x14ac:dyDescent="0.25">
      <c r="A206" t="s">
        <v>805</v>
      </c>
      <c r="B206" t="s">
        <v>837</v>
      </c>
      <c r="C206" s="41"/>
      <c r="D206" s="41"/>
      <c r="E206" s="42">
        <v>5</v>
      </c>
    </row>
    <row r="207" spans="1:5" x14ac:dyDescent="0.25">
      <c r="A207" t="s">
        <v>806</v>
      </c>
      <c r="B207" t="s">
        <v>838</v>
      </c>
      <c r="C207" s="41"/>
      <c r="D207" s="41"/>
      <c r="E207" s="42">
        <v>5</v>
      </c>
    </row>
    <row r="208" spans="1:5" x14ac:dyDescent="0.25">
      <c r="A208" t="s">
        <v>807</v>
      </c>
      <c r="B208" t="s">
        <v>839</v>
      </c>
      <c r="C208" s="41"/>
      <c r="D208" s="41"/>
      <c r="E208" s="42">
        <v>5</v>
      </c>
    </row>
    <row r="209" spans="1:5" x14ac:dyDescent="0.25">
      <c r="A209" t="s">
        <v>808</v>
      </c>
      <c r="B209" t="s">
        <v>840</v>
      </c>
      <c r="C209" s="41"/>
      <c r="D209" s="41"/>
      <c r="E209" s="42">
        <v>5</v>
      </c>
    </row>
    <row r="210" spans="1:5" x14ac:dyDescent="0.25">
      <c r="A210" t="s">
        <v>809</v>
      </c>
      <c r="B210" t="s">
        <v>841</v>
      </c>
      <c r="C210" s="41"/>
      <c r="D210" s="41"/>
      <c r="E210" s="42">
        <v>5</v>
      </c>
    </row>
    <row r="211" spans="1:5" x14ac:dyDescent="0.25">
      <c r="A211" t="s">
        <v>810</v>
      </c>
      <c r="B211" t="s">
        <v>842</v>
      </c>
      <c r="C211" s="41"/>
      <c r="D211" s="41"/>
      <c r="E211" s="42">
        <v>5</v>
      </c>
    </row>
    <row r="212" spans="1:5" x14ac:dyDescent="0.25">
      <c r="A212" t="s">
        <v>811</v>
      </c>
      <c r="B212" t="s">
        <v>843</v>
      </c>
      <c r="C212" s="41"/>
      <c r="D212" s="41"/>
      <c r="E212" s="42">
        <v>5</v>
      </c>
    </row>
    <row r="213" spans="1:5" x14ac:dyDescent="0.25">
      <c r="A213" t="s">
        <v>812</v>
      </c>
      <c r="B213" t="s">
        <v>844</v>
      </c>
      <c r="C213" s="41"/>
      <c r="D213" s="41"/>
      <c r="E213" s="42">
        <v>5</v>
      </c>
    </row>
    <row r="214" spans="1:5" x14ac:dyDescent="0.25">
      <c r="A214" t="s">
        <v>813</v>
      </c>
      <c r="B214" t="s">
        <v>845</v>
      </c>
      <c r="C214" s="41"/>
      <c r="D214" s="41"/>
      <c r="E214" s="42">
        <v>5</v>
      </c>
    </row>
    <row r="215" spans="1:5" x14ac:dyDescent="0.25">
      <c r="A215" t="s">
        <v>814</v>
      </c>
      <c r="B215" t="s">
        <v>846</v>
      </c>
      <c r="C215" s="41"/>
      <c r="D215" s="41"/>
      <c r="E215" s="42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322"/>
  <sheetViews>
    <sheetView workbookViewId="0">
      <selection activeCell="A2" sqref="A2"/>
    </sheetView>
  </sheetViews>
  <sheetFormatPr baseColWidth="10" defaultRowHeight="15" x14ac:dyDescent="0.25"/>
  <cols>
    <col min="2" max="2" width="16.85546875" bestFit="1" customWidth="1"/>
    <col min="3" max="3" width="22.85546875" bestFit="1" customWidth="1"/>
    <col min="4" max="4" width="18.85546875" bestFit="1" customWidth="1"/>
    <col min="5" max="5" width="19.42578125" customWidth="1"/>
    <col min="6" max="6" width="28.7109375" bestFit="1" customWidth="1"/>
  </cols>
  <sheetData>
    <row r="1" spans="1:6" x14ac:dyDescent="0.25">
      <c r="A1" s="20" t="s">
        <v>1</v>
      </c>
      <c r="B1" s="19" t="s">
        <v>3</v>
      </c>
      <c r="C1" s="19" t="s">
        <v>4</v>
      </c>
      <c r="D1" s="19" t="s">
        <v>33</v>
      </c>
      <c r="E1" s="19" t="s">
        <v>5</v>
      </c>
      <c r="F1" s="19" t="s">
        <v>2</v>
      </c>
    </row>
    <row r="2" spans="1:6" x14ac:dyDescent="0.25">
      <c r="A2" s="24">
        <v>4850684</v>
      </c>
      <c r="B2" s="21" t="s">
        <v>247</v>
      </c>
      <c r="C2" s="21" t="s">
        <v>259</v>
      </c>
      <c r="D2" s="23" t="s">
        <v>261</v>
      </c>
      <c r="E2" s="25" t="s">
        <v>251</v>
      </c>
      <c r="F2" s="23" t="s">
        <v>260</v>
      </c>
    </row>
    <row r="3" spans="1:6" x14ac:dyDescent="0.25">
      <c r="A3" s="24">
        <v>4852347</v>
      </c>
      <c r="B3" s="21" t="s">
        <v>247</v>
      </c>
      <c r="C3" s="21" t="s">
        <v>259</v>
      </c>
      <c r="D3" s="23" t="s">
        <v>262</v>
      </c>
      <c r="E3" s="25" t="s">
        <v>251</v>
      </c>
      <c r="F3" s="23" t="s">
        <v>260</v>
      </c>
    </row>
    <row r="4" spans="1:6" x14ac:dyDescent="0.25">
      <c r="A4" s="24">
        <v>4854355</v>
      </c>
      <c r="B4" s="21" t="s">
        <v>247</v>
      </c>
      <c r="C4" s="21" t="s">
        <v>259</v>
      </c>
      <c r="D4" s="23" t="s">
        <v>263</v>
      </c>
      <c r="E4" s="25" t="s">
        <v>251</v>
      </c>
      <c r="F4" s="23" t="s">
        <v>260</v>
      </c>
    </row>
    <row r="5" spans="1:6" x14ac:dyDescent="0.25">
      <c r="A5" s="24">
        <v>4851432</v>
      </c>
      <c r="B5" s="21" t="s">
        <v>247</v>
      </c>
      <c r="C5" s="21" t="s">
        <v>264</v>
      </c>
      <c r="D5" s="25" t="s">
        <v>266</v>
      </c>
      <c r="E5" s="25" t="s">
        <v>251</v>
      </c>
      <c r="F5" s="23" t="s">
        <v>265</v>
      </c>
    </row>
    <row r="6" spans="1:6" x14ac:dyDescent="0.25">
      <c r="A6" s="24">
        <v>4852439</v>
      </c>
      <c r="B6" s="21" t="s">
        <v>247</v>
      </c>
      <c r="C6" s="21" t="s">
        <v>264</v>
      </c>
      <c r="D6" s="25" t="s">
        <v>267</v>
      </c>
      <c r="E6" s="25" t="s">
        <v>251</v>
      </c>
      <c r="F6" s="23" t="s">
        <v>265</v>
      </c>
    </row>
    <row r="7" spans="1:6" x14ac:dyDescent="0.25">
      <c r="A7" s="24">
        <v>4851972</v>
      </c>
      <c r="B7" s="21" t="s">
        <v>247</v>
      </c>
      <c r="C7" s="21" t="s">
        <v>264</v>
      </c>
      <c r="D7" s="25" t="s">
        <v>268</v>
      </c>
      <c r="E7" s="25" t="s">
        <v>251</v>
      </c>
      <c r="F7" s="23" t="s">
        <v>265</v>
      </c>
    </row>
    <row r="8" spans="1:6" x14ac:dyDescent="0.25">
      <c r="A8" s="24">
        <v>4854512</v>
      </c>
      <c r="B8" s="21" t="s">
        <v>247</v>
      </c>
      <c r="C8" s="21" t="s">
        <v>264</v>
      </c>
      <c r="D8" s="25" t="s">
        <v>269</v>
      </c>
      <c r="E8" s="25" t="s">
        <v>251</v>
      </c>
      <c r="F8" s="23" t="s">
        <v>265</v>
      </c>
    </row>
    <row r="9" spans="1:6" x14ac:dyDescent="0.25">
      <c r="A9" s="24">
        <v>4851699</v>
      </c>
      <c r="B9" s="21" t="s">
        <v>247</v>
      </c>
      <c r="C9" s="21" t="s">
        <v>264</v>
      </c>
      <c r="D9" s="25" t="s">
        <v>270</v>
      </c>
      <c r="E9" s="25" t="s">
        <v>251</v>
      </c>
      <c r="F9" s="23" t="s">
        <v>265</v>
      </c>
    </row>
    <row r="10" spans="1:6" x14ac:dyDescent="0.25">
      <c r="A10" s="24">
        <v>4855890</v>
      </c>
      <c r="B10" s="21" t="s">
        <v>247</v>
      </c>
      <c r="C10" s="21" t="s">
        <v>264</v>
      </c>
      <c r="D10" s="25" t="s">
        <v>271</v>
      </c>
      <c r="E10" s="25" t="s">
        <v>251</v>
      </c>
      <c r="F10" s="23" t="s">
        <v>265</v>
      </c>
    </row>
    <row r="11" spans="1:6" x14ac:dyDescent="0.25">
      <c r="A11" s="24">
        <v>4852167</v>
      </c>
      <c r="B11" s="21" t="s">
        <v>247</v>
      </c>
      <c r="C11" s="21" t="s">
        <v>264</v>
      </c>
      <c r="D11" s="25" t="s">
        <v>272</v>
      </c>
      <c r="E11" s="25" t="s">
        <v>251</v>
      </c>
      <c r="F11" s="23" t="s">
        <v>265</v>
      </c>
    </row>
    <row r="12" spans="1:6" x14ac:dyDescent="0.25">
      <c r="A12" s="24">
        <v>4851413</v>
      </c>
      <c r="B12" s="21" t="s">
        <v>247</v>
      </c>
      <c r="C12" s="21" t="s">
        <v>264</v>
      </c>
      <c r="D12" s="25" t="s">
        <v>273</v>
      </c>
      <c r="E12" s="25" t="s">
        <v>251</v>
      </c>
      <c r="F12" s="23" t="s">
        <v>265</v>
      </c>
    </row>
    <row r="13" spans="1:6" x14ac:dyDescent="0.25">
      <c r="A13" s="24">
        <v>4856651</v>
      </c>
      <c r="B13" s="21" t="s">
        <v>247</v>
      </c>
      <c r="C13" s="21" t="s">
        <v>390</v>
      </c>
      <c r="D13" s="25" t="s">
        <v>391</v>
      </c>
      <c r="E13" s="25" t="s">
        <v>251</v>
      </c>
      <c r="F13" s="23" t="s">
        <v>265</v>
      </c>
    </row>
    <row r="14" spans="1:6" x14ac:dyDescent="0.25">
      <c r="A14" s="24">
        <v>4855908</v>
      </c>
      <c r="B14" s="21" t="s">
        <v>247</v>
      </c>
      <c r="C14" s="21" t="s">
        <v>390</v>
      </c>
      <c r="D14" s="25" t="s">
        <v>392</v>
      </c>
      <c r="E14" s="25" t="s">
        <v>251</v>
      </c>
      <c r="F14" s="23" t="s">
        <v>265</v>
      </c>
    </row>
    <row r="15" spans="1:6" x14ac:dyDescent="0.25">
      <c r="A15" s="24">
        <v>4851643</v>
      </c>
      <c r="B15" s="21" t="s">
        <v>247</v>
      </c>
      <c r="C15" s="21" t="s">
        <v>390</v>
      </c>
      <c r="D15" s="25" t="s">
        <v>393</v>
      </c>
      <c r="E15" s="25" t="s">
        <v>251</v>
      </c>
      <c r="F15" s="23" t="s">
        <v>265</v>
      </c>
    </row>
    <row r="16" spans="1:6" x14ac:dyDescent="0.25">
      <c r="A16" s="24">
        <v>4853344</v>
      </c>
      <c r="B16" s="21" t="s">
        <v>247</v>
      </c>
      <c r="C16" s="21" t="s">
        <v>390</v>
      </c>
      <c r="D16" s="25" t="s">
        <v>394</v>
      </c>
      <c r="E16" s="25" t="s">
        <v>251</v>
      </c>
      <c r="F16" s="23" t="s">
        <v>265</v>
      </c>
    </row>
    <row r="17" spans="1:6" x14ac:dyDescent="0.25">
      <c r="A17" s="24">
        <v>4852899</v>
      </c>
      <c r="B17" s="21" t="s">
        <v>247</v>
      </c>
      <c r="C17" s="21" t="s">
        <v>390</v>
      </c>
      <c r="D17" s="25" t="s">
        <v>395</v>
      </c>
      <c r="E17" s="25" t="s">
        <v>251</v>
      </c>
      <c r="F17" s="23" t="s">
        <v>265</v>
      </c>
    </row>
    <row r="18" spans="1:6" x14ac:dyDescent="0.25">
      <c r="A18" s="24">
        <v>4854238</v>
      </c>
      <c r="B18" s="21" t="s">
        <v>247</v>
      </c>
      <c r="C18" s="21" t="s">
        <v>390</v>
      </c>
      <c r="D18" s="25" t="s">
        <v>396</v>
      </c>
      <c r="E18" s="25" t="s">
        <v>251</v>
      </c>
      <c r="F18" s="23" t="s">
        <v>265</v>
      </c>
    </row>
    <row r="19" spans="1:6" x14ac:dyDescent="0.25">
      <c r="A19" s="24">
        <v>4851263</v>
      </c>
      <c r="B19" s="21" t="s">
        <v>247</v>
      </c>
      <c r="C19" s="21" t="s">
        <v>390</v>
      </c>
      <c r="D19" s="25" t="s">
        <v>397</v>
      </c>
      <c r="E19" s="25" t="s">
        <v>251</v>
      </c>
      <c r="F19" s="23" t="s">
        <v>265</v>
      </c>
    </row>
    <row r="20" spans="1:6" x14ac:dyDescent="0.25">
      <c r="A20" s="24">
        <v>4851495</v>
      </c>
      <c r="B20" s="21" t="s">
        <v>247</v>
      </c>
      <c r="C20" s="21" t="s">
        <v>293</v>
      </c>
      <c r="D20" s="25" t="s">
        <v>295</v>
      </c>
      <c r="E20" s="25" t="s">
        <v>251</v>
      </c>
      <c r="F20" s="23" t="s">
        <v>294</v>
      </c>
    </row>
    <row r="21" spans="1:6" x14ac:dyDescent="0.25">
      <c r="A21" s="24">
        <v>4852914</v>
      </c>
      <c r="B21" s="21" t="s">
        <v>247</v>
      </c>
      <c r="C21" s="21" t="s">
        <v>293</v>
      </c>
      <c r="D21" s="25" t="s">
        <v>358</v>
      </c>
      <c r="E21" s="25" t="s">
        <v>251</v>
      </c>
      <c r="F21" s="23" t="s">
        <v>357</v>
      </c>
    </row>
    <row r="22" spans="1:6" x14ac:dyDescent="0.25">
      <c r="A22" s="24">
        <v>4856649</v>
      </c>
      <c r="B22" s="21" t="s">
        <v>247</v>
      </c>
      <c r="C22" s="21" t="s">
        <v>293</v>
      </c>
      <c r="D22" s="25" t="s">
        <v>359</v>
      </c>
      <c r="E22" s="25" t="s">
        <v>251</v>
      </c>
      <c r="F22" s="23" t="s">
        <v>357</v>
      </c>
    </row>
    <row r="23" spans="1:6" x14ac:dyDescent="0.25">
      <c r="A23" s="24">
        <v>4854624</v>
      </c>
      <c r="B23" s="21" t="s">
        <v>247</v>
      </c>
      <c r="C23" s="21" t="s">
        <v>293</v>
      </c>
      <c r="D23" s="25" t="s">
        <v>296</v>
      </c>
      <c r="E23" s="25" t="s">
        <v>251</v>
      </c>
      <c r="F23" s="23" t="s">
        <v>294</v>
      </c>
    </row>
    <row r="24" spans="1:6" x14ac:dyDescent="0.25">
      <c r="A24" s="24">
        <v>4855405</v>
      </c>
      <c r="B24" s="21" t="s">
        <v>247</v>
      </c>
      <c r="C24" s="21" t="s">
        <v>293</v>
      </c>
      <c r="D24" s="27" t="s">
        <v>360</v>
      </c>
      <c r="E24" s="25" t="s">
        <v>251</v>
      </c>
      <c r="F24" s="23" t="s">
        <v>357</v>
      </c>
    </row>
    <row r="25" spans="1:6" x14ac:dyDescent="0.25">
      <c r="A25" s="24">
        <v>4853201</v>
      </c>
      <c r="B25" s="21" t="s">
        <v>247</v>
      </c>
      <c r="C25" s="21" t="s">
        <v>293</v>
      </c>
      <c r="D25" s="27" t="s">
        <v>361</v>
      </c>
      <c r="E25" s="25" t="s">
        <v>251</v>
      </c>
      <c r="F25" s="23" t="s">
        <v>357</v>
      </c>
    </row>
    <row r="26" spans="1:6" x14ac:dyDescent="0.25">
      <c r="A26" s="24">
        <v>4854908</v>
      </c>
      <c r="B26" s="21" t="s">
        <v>247</v>
      </c>
      <c r="C26" s="21" t="s">
        <v>293</v>
      </c>
      <c r="D26" s="27" t="s">
        <v>297</v>
      </c>
      <c r="E26" s="25" t="s">
        <v>251</v>
      </c>
      <c r="F26" s="23" t="s">
        <v>294</v>
      </c>
    </row>
    <row r="27" spans="1:6" x14ac:dyDescent="0.25">
      <c r="A27" s="24">
        <v>4855296</v>
      </c>
      <c r="B27" s="21" t="s">
        <v>247</v>
      </c>
      <c r="C27" s="21" t="s">
        <v>293</v>
      </c>
      <c r="D27" s="27" t="s">
        <v>362</v>
      </c>
      <c r="E27" s="25" t="s">
        <v>251</v>
      </c>
      <c r="F27" s="23" t="s">
        <v>357</v>
      </c>
    </row>
    <row r="28" spans="1:6" x14ac:dyDescent="0.25">
      <c r="A28" s="24">
        <v>4850089</v>
      </c>
      <c r="B28" s="21" t="s">
        <v>247</v>
      </c>
      <c r="C28" s="21" t="s">
        <v>293</v>
      </c>
      <c r="D28" s="27" t="s">
        <v>298</v>
      </c>
      <c r="E28" s="25" t="s">
        <v>251</v>
      </c>
      <c r="F28" s="23" t="s">
        <v>294</v>
      </c>
    </row>
    <row r="29" spans="1:6" x14ac:dyDescent="0.25">
      <c r="A29" s="24">
        <v>4859668</v>
      </c>
      <c r="B29" s="21" t="s">
        <v>247</v>
      </c>
      <c r="C29" s="21" t="s">
        <v>293</v>
      </c>
      <c r="D29" s="27" t="s">
        <v>299</v>
      </c>
      <c r="E29" s="25" t="s">
        <v>251</v>
      </c>
      <c r="F29" s="23" t="s">
        <v>294</v>
      </c>
    </row>
    <row r="30" spans="1:6" x14ac:dyDescent="0.25">
      <c r="A30" s="24">
        <v>4855863</v>
      </c>
      <c r="B30" s="21" t="s">
        <v>247</v>
      </c>
      <c r="C30" s="21" t="s">
        <v>293</v>
      </c>
      <c r="D30" s="27" t="s">
        <v>363</v>
      </c>
      <c r="E30" s="25" t="s">
        <v>251</v>
      </c>
      <c r="F30" s="23" t="s">
        <v>357</v>
      </c>
    </row>
    <row r="31" spans="1:6" x14ac:dyDescent="0.25">
      <c r="A31" s="24">
        <v>4850671</v>
      </c>
      <c r="B31" s="21" t="s">
        <v>247</v>
      </c>
      <c r="C31" s="21" t="s">
        <v>293</v>
      </c>
      <c r="D31" s="27" t="s">
        <v>300</v>
      </c>
      <c r="E31" s="25" t="s">
        <v>251</v>
      </c>
      <c r="F31" s="23" t="s">
        <v>294</v>
      </c>
    </row>
    <row r="32" spans="1:6" x14ac:dyDescent="0.25">
      <c r="A32" s="24">
        <v>4853228</v>
      </c>
      <c r="B32" s="21" t="s">
        <v>247</v>
      </c>
      <c r="C32" s="21" t="s">
        <v>293</v>
      </c>
      <c r="D32" s="27" t="s">
        <v>364</v>
      </c>
      <c r="E32" s="25" t="s">
        <v>251</v>
      </c>
      <c r="F32" s="23" t="s">
        <v>357</v>
      </c>
    </row>
    <row r="33" spans="1:6" x14ac:dyDescent="0.25">
      <c r="A33" s="24">
        <v>4854364</v>
      </c>
      <c r="B33" s="21" t="s">
        <v>247</v>
      </c>
      <c r="C33" s="21" t="s">
        <v>293</v>
      </c>
      <c r="D33" s="27" t="s">
        <v>301</v>
      </c>
      <c r="E33" s="25" t="s">
        <v>251</v>
      </c>
      <c r="F33" s="23" t="s">
        <v>294</v>
      </c>
    </row>
    <row r="34" spans="1:6" x14ac:dyDescent="0.25">
      <c r="A34" s="24">
        <v>4852696</v>
      </c>
      <c r="B34" s="21" t="s">
        <v>247</v>
      </c>
      <c r="C34" s="21" t="s">
        <v>293</v>
      </c>
      <c r="D34" s="32" t="s">
        <v>302</v>
      </c>
      <c r="E34" s="25" t="s">
        <v>251</v>
      </c>
      <c r="F34" s="23" t="s">
        <v>294</v>
      </c>
    </row>
    <row r="35" spans="1:6" x14ac:dyDescent="0.25">
      <c r="A35" s="24">
        <v>4850514</v>
      </c>
      <c r="B35" s="21" t="s">
        <v>247</v>
      </c>
      <c r="C35" s="21" t="s">
        <v>293</v>
      </c>
      <c r="D35" s="27" t="s">
        <v>304</v>
      </c>
      <c r="E35" s="25" t="s">
        <v>251</v>
      </c>
      <c r="F35" s="23" t="s">
        <v>303</v>
      </c>
    </row>
    <row r="36" spans="1:6" x14ac:dyDescent="0.25">
      <c r="A36" s="24">
        <v>4854683</v>
      </c>
      <c r="B36" s="21" t="s">
        <v>247</v>
      </c>
      <c r="C36" s="21" t="s">
        <v>293</v>
      </c>
      <c r="D36" s="27" t="s">
        <v>365</v>
      </c>
      <c r="E36" s="25" t="s">
        <v>251</v>
      </c>
      <c r="F36" s="23" t="s">
        <v>357</v>
      </c>
    </row>
    <row r="37" spans="1:6" x14ac:dyDescent="0.25">
      <c r="A37" s="24">
        <v>4852655</v>
      </c>
      <c r="B37" s="21" t="s">
        <v>247</v>
      </c>
      <c r="C37" s="21" t="s">
        <v>293</v>
      </c>
      <c r="D37" s="27" t="s">
        <v>366</v>
      </c>
      <c r="E37" s="25" t="s">
        <v>251</v>
      </c>
      <c r="F37" s="23" t="s">
        <v>357</v>
      </c>
    </row>
    <row r="38" spans="1:6" x14ac:dyDescent="0.25">
      <c r="A38" s="24">
        <v>4850989</v>
      </c>
      <c r="B38" s="21" t="s">
        <v>247</v>
      </c>
      <c r="C38" s="21" t="s">
        <v>293</v>
      </c>
      <c r="D38" s="27" t="s">
        <v>305</v>
      </c>
      <c r="E38" s="25" t="s">
        <v>251</v>
      </c>
      <c r="F38" s="23" t="s">
        <v>303</v>
      </c>
    </row>
    <row r="39" spans="1:6" x14ac:dyDescent="0.25">
      <c r="A39" s="24">
        <v>4853265</v>
      </c>
      <c r="B39" s="21" t="s">
        <v>247</v>
      </c>
      <c r="C39" s="21" t="s">
        <v>293</v>
      </c>
      <c r="D39" s="27" t="s">
        <v>367</v>
      </c>
      <c r="E39" s="25" t="s">
        <v>251</v>
      </c>
      <c r="F39" s="23" t="s">
        <v>357</v>
      </c>
    </row>
    <row r="40" spans="1:6" x14ac:dyDescent="0.25">
      <c r="A40" s="24">
        <v>4851421</v>
      </c>
      <c r="B40" s="21" t="s">
        <v>247</v>
      </c>
      <c r="C40" s="21" t="s">
        <v>293</v>
      </c>
      <c r="D40" s="27" t="s">
        <v>306</v>
      </c>
      <c r="E40" s="25" t="s">
        <v>251</v>
      </c>
      <c r="F40" s="23" t="s">
        <v>303</v>
      </c>
    </row>
    <row r="41" spans="1:6" x14ac:dyDescent="0.25">
      <c r="A41" s="24">
        <v>4851165</v>
      </c>
      <c r="B41" s="21" t="s">
        <v>247</v>
      </c>
      <c r="C41" s="21" t="s">
        <v>293</v>
      </c>
      <c r="D41" s="27" t="s">
        <v>368</v>
      </c>
      <c r="E41" s="25" t="s">
        <v>251</v>
      </c>
      <c r="F41" s="23" t="s">
        <v>357</v>
      </c>
    </row>
    <row r="42" spans="1:6" x14ac:dyDescent="0.25">
      <c r="A42" s="24">
        <v>4850868</v>
      </c>
      <c r="B42" s="21" t="s">
        <v>247</v>
      </c>
      <c r="C42" s="21" t="s">
        <v>293</v>
      </c>
      <c r="D42" s="27" t="s">
        <v>369</v>
      </c>
      <c r="E42" s="25" t="s">
        <v>251</v>
      </c>
      <c r="F42" s="23" t="s">
        <v>357</v>
      </c>
    </row>
    <row r="43" spans="1:6" x14ac:dyDescent="0.25">
      <c r="A43" s="24">
        <v>4852559</v>
      </c>
      <c r="B43" s="21" t="s">
        <v>247</v>
      </c>
      <c r="C43" s="21" t="s">
        <v>293</v>
      </c>
      <c r="D43" s="27" t="s">
        <v>370</v>
      </c>
      <c r="E43" s="25" t="s">
        <v>251</v>
      </c>
      <c r="F43" s="23" t="s">
        <v>357</v>
      </c>
    </row>
    <row r="44" spans="1:6" x14ac:dyDescent="0.25">
      <c r="A44" s="24">
        <v>4854938</v>
      </c>
      <c r="B44" s="21" t="s">
        <v>247</v>
      </c>
      <c r="C44" s="21" t="s">
        <v>293</v>
      </c>
      <c r="D44" s="27" t="s">
        <v>307</v>
      </c>
      <c r="E44" s="25" t="s">
        <v>251</v>
      </c>
      <c r="F44" s="23" t="s">
        <v>303</v>
      </c>
    </row>
    <row r="45" spans="1:6" x14ac:dyDescent="0.25">
      <c r="A45" s="24">
        <v>4850346</v>
      </c>
      <c r="B45" s="21" t="s">
        <v>247</v>
      </c>
      <c r="C45" s="21" t="s">
        <v>293</v>
      </c>
      <c r="D45" s="27" t="s">
        <v>371</v>
      </c>
      <c r="E45" s="25" t="s">
        <v>251</v>
      </c>
      <c r="F45" s="23" t="s">
        <v>357</v>
      </c>
    </row>
    <row r="46" spans="1:6" x14ac:dyDescent="0.25">
      <c r="A46" s="24">
        <v>4858362</v>
      </c>
      <c r="B46" s="21" t="s">
        <v>247</v>
      </c>
      <c r="C46" s="21" t="s">
        <v>293</v>
      </c>
      <c r="D46" s="27" t="s">
        <v>372</v>
      </c>
      <c r="E46" s="25" t="s">
        <v>251</v>
      </c>
      <c r="F46" s="23" t="s">
        <v>357</v>
      </c>
    </row>
    <row r="47" spans="1:6" x14ac:dyDescent="0.25">
      <c r="A47" s="24">
        <v>4858774</v>
      </c>
      <c r="B47" s="21" t="s">
        <v>247</v>
      </c>
      <c r="C47" s="21" t="s">
        <v>293</v>
      </c>
      <c r="D47" s="27" t="s">
        <v>373</v>
      </c>
      <c r="E47" s="25" t="s">
        <v>251</v>
      </c>
      <c r="F47" s="23" t="s">
        <v>357</v>
      </c>
    </row>
    <row r="48" spans="1:6" x14ac:dyDescent="0.25">
      <c r="A48" s="24">
        <v>4852915</v>
      </c>
      <c r="B48" s="21" t="s">
        <v>247</v>
      </c>
      <c r="C48" s="21" t="s">
        <v>286</v>
      </c>
      <c r="D48" s="27" t="s">
        <v>338</v>
      </c>
      <c r="E48" s="25" t="s">
        <v>251</v>
      </c>
      <c r="F48" s="23" t="s">
        <v>337</v>
      </c>
    </row>
    <row r="49" spans="1:6" x14ac:dyDescent="0.25">
      <c r="A49" s="24">
        <v>4852196</v>
      </c>
      <c r="B49" s="21" t="s">
        <v>247</v>
      </c>
      <c r="C49" s="21" t="s">
        <v>286</v>
      </c>
      <c r="D49" s="27" t="s">
        <v>288</v>
      </c>
      <c r="E49" s="25" t="s">
        <v>251</v>
      </c>
      <c r="F49" s="29" t="s">
        <v>287</v>
      </c>
    </row>
    <row r="50" spans="1:6" x14ac:dyDescent="0.25">
      <c r="A50" s="24">
        <v>4853905</v>
      </c>
      <c r="B50" s="21" t="s">
        <v>247</v>
      </c>
      <c r="C50" s="21" t="s">
        <v>286</v>
      </c>
      <c r="D50" s="27" t="s">
        <v>289</v>
      </c>
      <c r="E50" s="25" t="s">
        <v>251</v>
      </c>
      <c r="F50" s="34" t="s">
        <v>287</v>
      </c>
    </row>
    <row r="51" spans="1:6" x14ac:dyDescent="0.25">
      <c r="A51" s="24">
        <v>4855385</v>
      </c>
      <c r="B51" s="21" t="s">
        <v>247</v>
      </c>
      <c r="C51" s="21" t="s">
        <v>286</v>
      </c>
      <c r="D51" s="27" t="s">
        <v>290</v>
      </c>
      <c r="E51" s="25" t="s">
        <v>251</v>
      </c>
      <c r="F51" s="29" t="s">
        <v>287</v>
      </c>
    </row>
    <row r="52" spans="1:6" x14ac:dyDescent="0.25">
      <c r="A52" s="24">
        <v>4853078</v>
      </c>
      <c r="B52" s="21" t="s">
        <v>247</v>
      </c>
      <c r="C52" s="21" t="s">
        <v>286</v>
      </c>
      <c r="D52" s="27" t="s">
        <v>339</v>
      </c>
      <c r="E52" s="25" t="s">
        <v>251</v>
      </c>
      <c r="F52" s="23" t="s">
        <v>337</v>
      </c>
    </row>
    <row r="53" spans="1:6" x14ac:dyDescent="0.25">
      <c r="A53" s="24">
        <v>4851746</v>
      </c>
      <c r="B53" s="21" t="s">
        <v>247</v>
      </c>
      <c r="C53" s="21" t="s">
        <v>286</v>
      </c>
      <c r="D53" s="27" t="s">
        <v>291</v>
      </c>
      <c r="E53" s="25" t="s">
        <v>251</v>
      </c>
      <c r="F53" s="29" t="s">
        <v>287</v>
      </c>
    </row>
    <row r="54" spans="1:6" x14ac:dyDescent="0.25">
      <c r="A54" s="24">
        <v>4855468</v>
      </c>
      <c r="B54" s="21" t="s">
        <v>247</v>
      </c>
      <c r="C54" s="21" t="s">
        <v>286</v>
      </c>
      <c r="D54" s="27" t="s">
        <v>292</v>
      </c>
      <c r="E54" s="25" t="s">
        <v>251</v>
      </c>
      <c r="F54" s="29" t="s">
        <v>287</v>
      </c>
    </row>
    <row r="55" spans="1:6" x14ac:dyDescent="0.25">
      <c r="A55" s="24">
        <v>4855147</v>
      </c>
      <c r="B55" s="21" t="s">
        <v>247</v>
      </c>
      <c r="C55" s="21" t="s">
        <v>286</v>
      </c>
      <c r="D55" s="27" t="s">
        <v>340</v>
      </c>
      <c r="E55" s="25" t="s">
        <v>251</v>
      </c>
      <c r="F55" s="23" t="s">
        <v>337</v>
      </c>
    </row>
    <row r="56" spans="1:6" x14ac:dyDescent="0.25">
      <c r="A56" s="24">
        <v>4854955</v>
      </c>
      <c r="B56" s="21" t="s">
        <v>247</v>
      </c>
      <c r="C56" s="21" t="s">
        <v>286</v>
      </c>
      <c r="D56" s="27" t="s">
        <v>341</v>
      </c>
      <c r="E56" s="25" t="s">
        <v>251</v>
      </c>
      <c r="F56" s="23" t="s">
        <v>337</v>
      </c>
    </row>
    <row r="57" spans="1:6" x14ac:dyDescent="0.25">
      <c r="A57" s="24">
        <v>4853175</v>
      </c>
      <c r="B57" s="21" t="s">
        <v>247</v>
      </c>
      <c r="C57" s="21" t="s">
        <v>286</v>
      </c>
      <c r="D57" s="27" t="s">
        <v>342</v>
      </c>
      <c r="E57" s="25" t="s">
        <v>251</v>
      </c>
      <c r="F57" s="23" t="s">
        <v>337</v>
      </c>
    </row>
    <row r="58" spans="1:6" x14ac:dyDescent="0.25">
      <c r="A58" s="24">
        <v>4855568</v>
      </c>
      <c r="B58" s="21" t="s">
        <v>247</v>
      </c>
      <c r="C58" s="21" t="s">
        <v>286</v>
      </c>
      <c r="D58" s="27" t="s">
        <v>343</v>
      </c>
      <c r="E58" s="25" t="s">
        <v>251</v>
      </c>
      <c r="F58" s="23" t="s">
        <v>337</v>
      </c>
    </row>
    <row r="59" spans="1:6" x14ac:dyDescent="0.25">
      <c r="A59" s="24">
        <v>4853504</v>
      </c>
      <c r="B59" s="21" t="s">
        <v>247</v>
      </c>
      <c r="C59" s="21" t="s">
        <v>286</v>
      </c>
      <c r="D59" s="27" t="s">
        <v>346</v>
      </c>
      <c r="E59" s="25" t="s">
        <v>251</v>
      </c>
      <c r="F59" s="21" t="s">
        <v>337</v>
      </c>
    </row>
    <row r="60" spans="1:6" x14ac:dyDescent="0.25">
      <c r="A60" s="24">
        <v>4857081</v>
      </c>
      <c r="B60" s="21" t="s">
        <v>247</v>
      </c>
      <c r="C60" s="21" t="s">
        <v>286</v>
      </c>
      <c r="D60" s="27" t="s">
        <v>344</v>
      </c>
      <c r="E60" s="25" t="s">
        <v>251</v>
      </c>
      <c r="F60" s="21" t="s">
        <v>337</v>
      </c>
    </row>
    <row r="61" spans="1:6" x14ac:dyDescent="0.25">
      <c r="A61" s="24">
        <v>4857082</v>
      </c>
      <c r="B61" s="21" t="s">
        <v>247</v>
      </c>
      <c r="C61" s="21" t="s">
        <v>286</v>
      </c>
      <c r="D61" s="27" t="s">
        <v>345</v>
      </c>
      <c r="E61" s="25" t="s">
        <v>251</v>
      </c>
      <c r="F61" s="21" t="s">
        <v>337</v>
      </c>
    </row>
    <row r="62" spans="1:6" x14ac:dyDescent="0.25">
      <c r="A62" s="24">
        <v>4852195</v>
      </c>
      <c r="B62" s="21" t="s">
        <v>247</v>
      </c>
      <c r="C62" s="21" t="s">
        <v>384</v>
      </c>
      <c r="D62" s="27" t="s">
        <v>385</v>
      </c>
      <c r="E62" s="25" t="s">
        <v>251</v>
      </c>
      <c r="F62" s="21" t="s">
        <v>337</v>
      </c>
    </row>
    <row r="63" spans="1:6" x14ac:dyDescent="0.25">
      <c r="A63" s="24">
        <v>4854617</v>
      </c>
      <c r="B63" s="21" t="s">
        <v>247</v>
      </c>
      <c r="C63" s="21" t="s">
        <v>384</v>
      </c>
      <c r="D63" s="27" t="s">
        <v>386</v>
      </c>
      <c r="E63" s="25" t="s">
        <v>251</v>
      </c>
      <c r="F63" s="21" t="s">
        <v>337</v>
      </c>
    </row>
    <row r="64" spans="1:6" x14ac:dyDescent="0.25">
      <c r="A64" s="24">
        <v>4854598</v>
      </c>
      <c r="B64" s="21" t="s">
        <v>247</v>
      </c>
      <c r="C64" s="21" t="s">
        <v>384</v>
      </c>
      <c r="D64" s="27" t="s">
        <v>387</v>
      </c>
      <c r="E64" s="25" t="s">
        <v>251</v>
      </c>
      <c r="F64" s="21" t="s">
        <v>337</v>
      </c>
    </row>
    <row r="65" spans="1:6" x14ac:dyDescent="0.25">
      <c r="A65" s="24">
        <v>4853079</v>
      </c>
      <c r="B65" s="21" t="s">
        <v>247</v>
      </c>
      <c r="C65" s="21" t="s">
        <v>384</v>
      </c>
      <c r="D65" s="27" t="s">
        <v>388</v>
      </c>
      <c r="E65" s="25" t="s">
        <v>251</v>
      </c>
      <c r="F65" s="21" t="s">
        <v>337</v>
      </c>
    </row>
    <row r="66" spans="1:6" x14ac:dyDescent="0.25">
      <c r="A66" s="24">
        <v>4852711</v>
      </c>
      <c r="B66" s="21" t="s">
        <v>247</v>
      </c>
      <c r="C66" s="21" t="s">
        <v>384</v>
      </c>
      <c r="D66" s="27" t="s">
        <v>389</v>
      </c>
      <c r="E66" s="25" t="s">
        <v>251</v>
      </c>
      <c r="F66" s="21" t="s">
        <v>337</v>
      </c>
    </row>
    <row r="67" spans="1:6" x14ac:dyDescent="0.25">
      <c r="A67" s="24">
        <v>4855915</v>
      </c>
      <c r="B67" s="21" t="s">
        <v>247</v>
      </c>
      <c r="C67" s="21" t="s">
        <v>347</v>
      </c>
      <c r="D67" s="27" t="s">
        <v>349</v>
      </c>
      <c r="E67" s="25" t="s">
        <v>251</v>
      </c>
      <c r="F67" s="21" t="s">
        <v>348</v>
      </c>
    </row>
    <row r="68" spans="1:6" x14ac:dyDescent="0.25">
      <c r="A68" s="24">
        <v>4851013</v>
      </c>
      <c r="B68" s="21" t="s">
        <v>247</v>
      </c>
      <c r="C68" s="21" t="s">
        <v>347</v>
      </c>
      <c r="D68" s="27" t="s">
        <v>350</v>
      </c>
      <c r="E68" s="25" t="s">
        <v>251</v>
      </c>
      <c r="F68" s="21" t="s">
        <v>348</v>
      </c>
    </row>
    <row r="69" spans="1:6" x14ac:dyDescent="0.25">
      <c r="A69" s="24">
        <v>4852438</v>
      </c>
      <c r="B69" s="21" t="s">
        <v>247</v>
      </c>
      <c r="C69" s="21" t="s">
        <v>347</v>
      </c>
      <c r="D69" s="27" t="s">
        <v>351</v>
      </c>
      <c r="E69" s="25" t="s">
        <v>251</v>
      </c>
      <c r="F69" s="21" t="s">
        <v>348</v>
      </c>
    </row>
    <row r="70" spans="1:6" x14ac:dyDescent="0.25">
      <c r="A70" s="24">
        <v>4853064</v>
      </c>
      <c r="B70" s="21" t="s">
        <v>247</v>
      </c>
      <c r="C70" s="21" t="s">
        <v>347</v>
      </c>
      <c r="D70" s="27" t="s">
        <v>352</v>
      </c>
      <c r="E70" s="25" t="s">
        <v>251</v>
      </c>
      <c r="F70" s="21" t="s">
        <v>348</v>
      </c>
    </row>
    <row r="71" spans="1:6" x14ac:dyDescent="0.25">
      <c r="A71" s="24">
        <v>4852171</v>
      </c>
      <c r="B71" s="21" t="s">
        <v>247</v>
      </c>
      <c r="C71" s="21" t="s">
        <v>347</v>
      </c>
      <c r="D71" s="27" t="s">
        <v>353</v>
      </c>
      <c r="E71" s="25" t="s">
        <v>251</v>
      </c>
      <c r="F71" s="23" t="s">
        <v>348</v>
      </c>
    </row>
    <row r="72" spans="1:6" x14ac:dyDescent="0.25">
      <c r="A72" s="24">
        <v>4854142</v>
      </c>
      <c r="B72" s="21" t="s">
        <v>247</v>
      </c>
      <c r="C72" s="21" t="s">
        <v>347</v>
      </c>
      <c r="D72" s="27" t="s">
        <v>354</v>
      </c>
      <c r="E72" s="25" t="s">
        <v>251</v>
      </c>
      <c r="F72" s="23" t="s">
        <v>348</v>
      </c>
    </row>
    <row r="73" spans="1:6" x14ac:dyDescent="0.25">
      <c r="A73" s="24">
        <v>4859557</v>
      </c>
      <c r="B73" s="21" t="s">
        <v>247</v>
      </c>
      <c r="C73" s="21" t="s">
        <v>347</v>
      </c>
      <c r="D73" s="27" t="s">
        <v>355</v>
      </c>
      <c r="E73" s="25" t="s">
        <v>251</v>
      </c>
      <c r="F73" s="23" t="s">
        <v>348</v>
      </c>
    </row>
    <row r="74" spans="1:6" x14ac:dyDescent="0.25">
      <c r="A74" s="24">
        <v>4859667</v>
      </c>
      <c r="B74" s="21" t="s">
        <v>247</v>
      </c>
      <c r="C74" s="21" t="s">
        <v>347</v>
      </c>
      <c r="D74" s="27" t="s">
        <v>398</v>
      </c>
      <c r="E74" s="25" t="s">
        <v>251</v>
      </c>
      <c r="F74" s="23" t="s">
        <v>348</v>
      </c>
    </row>
    <row r="75" spans="1:6" x14ac:dyDescent="0.25">
      <c r="A75" s="24">
        <v>4852401</v>
      </c>
      <c r="B75" s="21" t="s">
        <v>247</v>
      </c>
      <c r="C75" s="21" t="s">
        <v>347</v>
      </c>
      <c r="D75" s="27" t="s">
        <v>356</v>
      </c>
      <c r="E75" s="25" t="s">
        <v>251</v>
      </c>
      <c r="F75" s="21" t="s">
        <v>348</v>
      </c>
    </row>
    <row r="76" spans="1:6" x14ac:dyDescent="0.25">
      <c r="A76" s="24">
        <v>4851496</v>
      </c>
      <c r="B76" s="21" t="s">
        <v>247</v>
      </c>
      <c r="C76" s="21" t="s">
        <v>308</v>
      </c>
      <c r="D76" s="27" t="s">
        <v>310</v>
      </c>
      <c r="E76" s="25" t="s">
        <v>251</v>
      </c>
      <c r="F76" s="21" t="s">
        <v>309</v>
      </c>
    </row>
    <row r="77" spans="1:6" x14ac:dyDescent="0.25">
      <c r="A77" s="24">
        <v>4855882</v>
      </c>
      <c r="B77" s="21" t="s">
        <v>247</v>
      </c>
      <c r="C77" s="21" t="s">
        <v>308</v>
      </c>
      <c r="D77" s="27" t="s">
        <v>311</v>
      </c>
      <c r="E77" s="25" t="s">
        <v>251</v>
      </c>
      <c r="F77" s="21" t="s">
        <v>309</v>
      </c>
    </row>
    <row r="78" spans="1:6" x14ac:dyDescent="0.25">
      <c r="A78" s="24">
        <v>4850738</v>
      </c>
      <c r="B78" s="21" t="s">
        <v>247</v>
      </c>
      <c r="C78" s="21" t="s">
        <v>308</v>
      </c>
      <c r="D78" s="27" t="s">
        <v>312</v>
      </c>
      <c r="E78" s="25" t="s">
        <v>251</v>
      </c>
      <c r="F78" s="21" t="s">
        <v>309</v>
      </c>
    </row>
    <row r="79" spans="1:6" x14ac:dyDescent="0.25">
      <c r="A79" s="24">
        <v>4850172</v>
      </c>
      <c r="B79" s="21" t="s">
        <v>247</v>
      </c>
      <c r="C79" s="21" t="s">
        <v>308</v>
      </c>
      <c r="D79" s="27" t="s">
        <v>313</v>
      </c>
      <c r="E79" s="25" t="s">
        <v>251</v>
      </c>
      <c r="F79" s="21" t="s">
        <v>309</v>
      </c>
    </row>
    <row r="80" spans="1:6" x14ac:dyDescent="0.25">
      <c r="A80" s="24">
        <v>4850246</v>
      </c>
      <c r="B80" s="21" t="s">
        <v>247</v>
      </c>
      <c r="C80" s="21" t="s">
        <v>308</v>
      </c>
      <c r="D80" s="27" t="s">
        <v>314</v>
      </c>
      <c r="E80" s="25" t="s">
        <v>251</v>
      </c>
      <c r="F80" s="21" t="s">
        <v>309</v>
      </c>
    </row>
    <row r="81" spans="1:6" x14ac:dyDescent="0.25">
      <c r="A81" s="24">
        <v>4853179</v>
      </c>
      <c r="B81" s="21" t="s">
        <v>247</v>
      </c>
      <c r="C81" s="21" t="s">
        <v>308</v>
      </c>
      <c r="D81" s="27" t="s">
        <v>315</v>
      </c>
      <c r="E81" s="25" t="s">
        <v>251</v>
      </c>
      <c r="F81" s="21" t="s">
        <v>309</v>
      </c>
    </row>
    <row r="82" spans="1:6" x14ac:dyDescent="0.25">
      <c r="A82" s="24">
        <v>4853493</v>
      </c>
      <c r="B82" s="21" t="s">
        <v>247</v>
      </c>
      <c r="C82" s="21" t="s">
        <v>308</v>
      </c>
      <c r="D82" s="27" t="s">
        <v>316</v>
      </c>
      <c r="E82" s="25" t="s">
        <v>251</v>
      </c>
      <c r="F82" s="21" t="s">
        <v>309</v>
      </c>
    </row>
    <row r="83" spans="1:6" x14ac:dyDescent="0.25">
      <c r="A83" s="24">
        <v>4851037</v>
      </c>
      <c r="B83" s="21" t="s">
        <v>247</v>
      </c>
      <c r="C83" s="21" t="s">
        <v>308</v>
      </c>
      <c r="D83" s="27" t="s">
        <v>317</v>
      </c>
      <c r="E83" s="25" t="s">
        <v>251</v>
      </c>
      <c r="F83" s="21" t="s">
        <v>309</v>
      </c>
    </row>
    <row r="84" spans="1:6" x14ac:dyDescent="0.25">
      <c r="A84" s="24">
        <v>4850712</v>
      </c>
      <c r="B84" s="21" t="s">
        <v>247</v>
      </c>
      <c r="C84" s="21" t="s">
        <v>308</v>
      </c>
      <c r="D84" s="27" t="s">
        <v>318</v>
      </c>
      <c r="E84" s="25" t="s">
        <v>251</v>
      </c>
      <c r="F84" s="21" t="s">
        <v>309</v>
      </c>
    </row>
    <row r="85" spans="1:6" x14ac:dyDescent="0.25">
      <c r="A85" s="24">
        <v>4855286</v>
      </c>
      <c r="B85" s="21" t="s">
        <v>247</v>
      </c>
      <c r="C85" s="21" t="s">
        <v>308</v>
      </c>
      <c r="D85" s="27" t="s">
        <v>319</v>
      </c>
      <c r="E85" s="25" t="s">
        <v>251</v>
      </c>
      <c r="F85" s="21" t="s">
        <v>309</v>
      </c>
    </row>
    <row r="86" spans="1:6" x14ac:dyDescent="0.25">
      <c r="A86" s="24">
        <v>4851249</v>
      </c>
      <c r="B86" s="21" t="s">
        <v>247</v>
      </c>
      <c r="C86" s="21" t="s">
        <v>308</v>
      </c>
      <c r="D86" s="27" t="s">
        <v>320</v>
      </c>
      <c r="E86" s="25" t="s">
        <v>251</v>
      </c>
      <c r="F86" s="21" t="s">
        <v>309</v>
      </c>
    </row>
    <row r="87" spans="1:6" x14ac:dyDescent="0.25">
      <c r="A87" s="24">
        <v>4852169</v>
      </c>
      <c r="B87" s="21" t="s">
        <v>247</v>
      </c>
      <c r="C87" s="21" t="s">
        <v>308</v>
      </c>
      <c r="D87" s="27" t="s">
        <v>321</v>
      </c>
      <c r="E87" s="25" t="s">
        <v>251</v>
      </c>
      <c r="F87" s="21" t="s">
        <v>309</v>
      </c>
    </row>
    <row r="88" spans="1:6" x14ac:dyDescent="0.25">
      <c r="A88" s="24">
        <v>4859029</v>
      </c>
      <c r="B88" s="21" t="s">
        <v>247</v>
      </c>
      <c r="C88" s="21" t="s">
        <v>308</v>
      </c>
      <c r="D88" s="27" t="s">
        <v>322</v>
      </c>
      <c r="E88" s="25" t="s">
        <v>251</v>
      </c>
      <c r="F88" s="23" t="s">
        <v>309</v>
      </c>
    </row>
    <row r="89" spans="1:6" x14ac:dyDescent="0.25">
      <c r="A89" s="24">
        <v>4859078</v>
      </c>
      <c r="B89" s="21" t="s">
        <v>247</v>
      </c>
      <c r="C89" s="21" t="s">
        <v>308</v>
      </c>
      <c r="D89" s="27" t="s">
        <v>323</v>
      </c>
      <c r="E89" s="25" t="s">
        <v>251</v>
      </c>
      <c r="F89" s="23" t="s">
        <v>309</v>
      </c>
    </row>
    <row r="90" spans="1:6" x14ac:dyDescent="0.25">
      <c r="A90" s="24">
        <v>4130011</v>
      </c>
      <c r="B90" s="21" t="s">
        <v>247</v>
      </c>
      <c r="C90" s="21" t="s">
        <v>308</v>
      </c>
      <c r="D90" s="27" t="s">
        <v>324</v>
      </c>
      <c r="E90" s="25" t="s">
        <v>251</v>
      </c>
      <c r="F90" s="23" t="s">
        <v>309</v>
      </c>
    </row>
    <row r="91" spans="1:6" x14ac:dyDescent="0.25">
      <c r="A91" s="24">
        <v>4850885</v>
      </c>
      <c r="B91" s="21" t="s">
        <v>247</v>
      </c>
      <c r="C91" s="21" t="s">
        <v>308</v>
      </c>
      <c r="D91" s="27" t="s">
        <v>325</v>
      </c>
      <c r="E91" s="25" t="s">
        <v>251</v>
      </c>
      <c r="F91" s="23" t="s">
        <v>309</v>
      </c>
    </row>
    <row r="92" spans="1:6" x14ac:dyDescent="0.25">
      <c r="A92" s="24">
        <v>4851020</v>
      </c>
      <c r="B92" s="21" t="s">
        <v>247</v>
      </c>
      <c r="C92" s="21" t="s">
        <v>248</v>
      </c>
      <c r="D92" s="27" t="s">
        <v>250</v>
      </c>
      <c r="E92" s="25" t="s">
        <v>251</v>
      </c>
      <c r="F92" s="23" t="s">
        <v>249</v>
      </c>
    </row>
    <row r="93" spans="1:6" x14ac:dyDescent="0.25">
      <c r="A93" s="24">
        <v>4851940</v>
      </c>
      <c r="B93" s="21" t="s">
        <v>247</v>
      </c>
      <c r="C93" s="21" t="s">
        <v>248</v>
      </c>
      <c r="D93" s="27" t="s">
        <v>252</v>
      </c>
      <c r="E93" s="25" t="s">
        <v>251</v>
      </c>
      <c r="F93" s="23" t="s">
        <v>249</v>
      </c>
    </row>
    <row r="94" spans="1:6" x14ac:dyDescent="0.25">
      <c r="A94" s="24">
        <v>4854147</v>
      </c>
      <c r="B94" s="21" t="s">
        <v>247</v>
      </c>
      <c r="C94" s="21" t="s">
        <v>248</v>
      </c>
      <c r="D94" s="27" t="s">
        <v>253</v>
      </c>
      <c r="E94" s="25" t="s">
        <v>251</v>
      </c>
      <c r="F94" s="23" t="s">
        <v>249</v>
      </c>
    </row>
    <row r="95" spans="1:6" x14ac:dyDescent="0.25">
      <c r="A95" s="24">
        <v>4130026</v>
      </c>
      <c r="B95" s="21" t="s">
        <v>247</v>
      </c>
      <c r="C95" s="21" t="s">
        <v>248</v>
      </c>
      <c r="D95" s="27" t="s">
        <v>254</v>
      </c>
      <c r="E95" s="25" t="s">
        <v>251</v>
      </c>
      <c r="F95" s="21" t="s">
        <v>249</v>
      </c>
    </row>
    <row r="96" spans="1:6" x14ac:dyDescent="0.25">
      <c r="A96" s="24">
        <v>4851201</v>
      </c>
      <c r="B96" s="21" t="s">
        <v>247</v>
      </c>
      <c r="C96" s="21" t="s">
        <v>248</v>
      </c>
      <c r="D96" s="27" t="s">
        <v>255</v>
      </c>
      <c r="E96" s="25" t="s">
        <v>251</v>
      </c>
      <c r="F96" s="21" t="s">
        <v>249</v>
      </c>
    </row>
    <row r="97" spans="1:6" x14ac:dyDescent="0.25">
      <c r="A97" s="24">
        <v>4854091</v>
      </c>
      <c r="B97" s="21" t="s">
        <v>247</v>
      </c>
      <c r="C97" s="21" t="s">
        <v>248</v>
      </c>
      <c r="D97" s="27" t="s">
        <v>256</v>
      </c>
      <c r="E97" s="25" t="s">
        <v>251</v>
      </c>
      <c r="F97" s="21" t="s">
        <v>249</v>
      </c>
    </row>
    <row r="98" spans="1:6" x14ac:dyDescent="0.25">
      <c r="A98" s="28">
        <v>4859558</v>
      </c>
      <c r="B98" s="21" t="s">
        <v>247</v>
      </c>
      <c r="C98" s="21" t="s">
        <v>248</v>
      </c>
      <c r="D98" s="21" t="s">
        <v>257</v>
      </c>
      <c r="E98" s="25" t="s">
        <v>251</v>
      </c>
      <c r="F98" s="21" t="s">
        <v>249</v>
      </c>
    </row>
    <row r="99" spans="1:6" x14ac:dyDescent="0.25">
      <c r="A99" s="24">
        <v>4852400</v>
      </c>
      <c r="B99" s="21" t="s">
        <v>247</v>
      </c>
      <c r="C99" s="21" t="s">
        <v>248</v>
      </c>
      <c r="D99" s="27" t="s">
        <v>258</v>
      </c>
      <c r="E99" s="25" t="s">
        <v>251</v>
      </c>
      <c r="F99" s="21" t="s">
        <v>249</v>
      </c>
    </row>
    <row r="100" spans="1:6" x14ac:dyDescent="0.25">
      <c r="A100" s="24">
        <v>4850725</v>
      </c>
      <c r="B100" s="21" t="s">
        <v>34</v>
      </c>
      <c r="C100" s="22" t="s">
        <v>35</v>
      </c>
      <c r="D100" s="27" t="s">
        <v>87</v>
      </c>
      <c r="E100" s="25" t="s">
        <v>38</v>
      </c>
      <c r="F100" s="21" t="s">
        <v>408</v>
      </c>
    </row>
    <row r="101" spans="1:6" x14ac:dyDescent="0.25">
      <c r="A101" s="24">
        <v>4852974</v>
      </c>
      <c r="B101" s="21" t="s">
        <v>34</v>
      </c>
      <c r="C101" s="22" t="s">
        <v>35</v>
      </c>
      <c r="D101" s="27" t="s">
        <v>90</v>
      </c>
      <c r="E101" s="25" t="s">
        <v>38</v>
      </c>
      <c r="F101" s="21" t="s">
        <v>408</v>
      </c>
    </row>
    <row r="102" spans="1:6" x14ac:dyDescent="0.25">
      <c r="A102" s="24">
        <v>4854416</v>
      </c>
      <c r="B102" s="21" t="s">
        <v>34</v>
      </c>
      <c r="C102" s="22" t="s">
        <v>35</v>
      </c>
      <c r="D102" s="25" t="s">
        <v>91</v>
      </c>
      <c r="E102" s="25" t="s">
        <v>38</v>
      </c>
      <c r="F102" s="23" t="s">
        <v>408</v>
      </c>
    </row>
    <row r="103" spans="1:6" x14ac:dyDescent="0.25">
      <c r="A103" s="24">
        <v>4852523</v>
      </c>
      <c r="B103" s="21" t="s">
        <v>34</v>
      </c>
      <c r="C103" s="22" t="s">
        <v>35</v>
      </c>
      <c r="D103" s="25" t="s">
        <v>92</v>
      </c>
      <c r="E103" s="25" t="s">
        <v>38</v>
      </c>
      <c r="F103" s="23" t="s">
        <v>408</v>
      </c>
    </row>
    <row r="104" spans="1:6" x14ac:dyDescent="0.25">
      <c r="A104" s="24">
        <v>4854679</v>
      </c>
      <c r="B104" s="21" t="s">
        <v>34</v>
      </c>
      <c r="C104" s="22" t="s">
        <v>35</v>
      </c>
      <c r="D104" s="25" t="s">
        <v>93</v>
      </c>
      <c r="E104" s="25" t="s">
        <v>38</v>
      </c>
      <c r="F104" s="23" t="s">
        <v>408</v>
      </c>
    </row>
    <row r="105" spans="1:6" x14ac:dyDescent="0.25">
      <c r="A105" s="24">
        <v>4850077</v>
      </c>
      <c r="B105" s="21" t="s">
        <v>34</v>
      </c>
      <c r="C105" s="22" t="s">
        <v>35</v>
      </c>
      <c r="D105" s="25" t="s">
        <v>94</v>
      </c>
      <c r="E105" s="25" t="s">
        <v>38</v>
      </c>
      <c r="F105" s="23" t="s">
        <v>408</v>
      </c>
    </row>
    <row r="106" spans="1:6" x14ac:dyDescent="0.25">
      <c r="A106" s="24">
        <v>4850356</v>
      </c>
      <c r="B106" s="21" t="s">
        <v>34</v>
      </c>
      <c r="C106" s="22" t="s">
        <v>35</v>
      </c>
      <c r="D106" s="25" t="s">
        <v>44</v>
      </c>
      <c r="E106" s="25" t="s">
        <v>38</v>
      </c>
      <c r="F106" s="23" t="s">
        <v>36</v>
      </c>
    </row>
    <row r="107" spans="1:6" x14ac:dyDescent="0.25">
      <c r="A107" s="24">
        <v>4853364</v>
      </c>
      <c r="B107" s="21" t="s">
        <v>34</v>
      </c>
      <c r="C107" s="22" t="s">
        <v>35</v>
      </c>
      <c r="D107" s="25" t="s">
        <v>45</v>
      </c>
      <c r="E107" s="25" t="s">
        <v>38</v>
      </c>
      <c r="F107" s="23" t="s">
        <v>36</v>
      </c>
    </row>
    <row r="108" spans="1:6" x14ac:dyDescent="0.25">
      <c r="A108" s="24">
        <v>4856242</v>
      </c>
      <c r="B108" s="21" t="s">
        <v>34</v>
      </c>
      <c r="C108" s="22" t="s">
        <v>35</v>
      </c>
      <c r="D108" s="25" t="s">
        <v>46</v>
      </c>
      <c r="E108" s="25" t="s">
        <v>38</v>
      </c>
      <c r="F108" s="23" t="s">
        <v>36</v>
      </c>
    </row>
    <row r="109" spans="1:6" x14ac:dyDescent="0.25">
      <c r="A109" s="24">
        <v>4853089</v>
      </c>
      <c r="B109" s="21" t="s">
        <v>34</v>
      </c>
      <c r="C109" s="22" t="s">
        <v>35</v>
      </c>
      <c r="D109" s="25" t="s">
        <v>41</v>
      </c>
      <c r="E109" s="25" t="s">
        <v>38</v>
      </c>
      <c r="F109" s="23" t="s">
        <v>36</v>
      </c>
    </row>
    <row r="110" spans="1:6" x14ac:dyDescent="0.25">
      <c r="A110" s="24">
        <v>4851672</v>
      </c>
      <c r="B110" s="21" t="s">
        <v>34</v>
      </c>
      <c r="C110" s="22" t="s">
        <v>35</v>
      </c>
      <c r="D110" s="25" t="s">
        <v>43</v>
      </c>
      <c r="E110" s="25" t="s">
        <v>38</v>
      </c>
      <c r="F110" s="23" t="s">
        <v>36</v>
      </c>
    </row>
    <row r="111" spans="1:6" x14ac:dyDescent="0.25">
      <c r="A111" s="24">
        <v>4850847</v>
      </c>
      <c r="B111" s="21" t="s">
        <v>34</v>
      </c>
      <c r="C111" s="22" t="s">
        <v>35</v>
      </c>
      <c r="D111" s="25" t="s">
        <v>47</v>
      </c>
      <c r="E111" s="25" t="s">
        <v>38</v>
      </c>
      <c r="F111" s="23" t="s">
        <v>36</v>
      </c>
    </row>
    <row r="112" spans="1:6" x14ac:dyDescent="0.25">
      <c r="A112" s="24">
        <v>4852368</v>
      </c>
      <c r="B112" s="21" t="s">
        <v>34</v>
      </c>
      <c r="C112" s="22" t="s">
        <v>35</v>
      </c>
      <c r="D112" s="25" t="s">
        <v>48</v>
      </c>
      <c r="E112" s="25" t="s">
        <v>38</v>
      </c>
      <c r="F112" s="23" t="s">
        <v>36</v>
      </c>
    </row>
    <row r="113" spans="1:6" x14ac:dyDescent="0.25">
      <c r="A113" s="24">
        <v>4850839</v>
      </c>
      <c r="B113" s="21" t="s">
        <v>34</v>
      </c>
      <c r="C113" s="22" t="s">
        <v>35</v>
      </c>
      <c r="D113" s="25" t="s">
        <v>39</v>
      </c>
      <c r="E113" s="25" t="s">
        <v>38</v>
      </c>
      <c r="F113" s="23" t="s">
        <v>36</v>
      </c>
    </row>
    <row r="114" spans="1:6" x14ac:dyDescent="0.25">
      <c r="A114" s="24">
        <v>4854530</v>
      </c>
      <c r="B114" s="21" t="s">
        <v>34</v>
      </c>
      <c r="C114" s="22" t="s">
        <v>35</v>
      </c>
      <c r="D114" s="25" t="s">
        <v>54</v>
      </c>
      <c r="E114" s="25" t="s">
        <v>38</v>
      </c>
      <c r="F114" s="23" t="s">
        <v>36</v>
      </c>
    </row>
    <row r="115" spans="1:6" x14ac:dyDescent="0.25">
      <c r="A115" s="24">
        <v>4855313</v>
      </c>
      <c r="B115" s="21" t="s">
        <v>34</v>
      </c>
      <c r="C115" s="22" t="s">
        <v>35</v>
      </c>
      <c r="D115" s="25" t="s">
        <v>40</v>
      </c>
      <c r="E115" s="25" t="s">
        <v>38</v>
      </c>
      <c r="F115" s="23" t="s">
        <v>36</v>
      </c>
    </row>
    <row r="116" spans="1:6" x14ac:dyDescent="0.25">
      <c r="A116" s="24">
        <v>4850492</v>
      </c>
      <c r="B116" s="21" t="s">
        <v>34</v>
      </c>
      <c r="C116" s="22" t="s">
        <v>35</v>
      </c>
      <c r="D116" s="25" t="s">
        <v>49</v>
      </c>
      <c r="E116" s="25" t="s">
        <v>38</v>
      </c>
      <c r="F116" s="23" t="s">
        <v>36</v>
      </c>
    </row>
    <row r="117" spans="1:6" x14ac:dyDescent="0.25">
      <c r="A117" s="24">
        <v>4851019</v>
      </c>
      <c r="B117" s="21" t="s">
        <v>34</v>
      </c>
      <c r="C117" s="22" t="s">
        <v>35</v>
      </c>
      <c r="D117" s="25" t="s">
        <v>50</v>
      </c>
      <c r="E117" s="25" t="s">
        <v>38</v>
      </c>
      <c r="F117" s="23" t="s">
        <v>36</v>
      </c>
    </row>
    <row r="118" spans="1:6" x14ac:dyDescent="0.25">
      <c r="A118" s="24">
        <v>4851704</v>
      </c>
      <c r="B118" s="21" t="s">
        <v>34</v>
      </c>
      <c r="C118" s="22" t="s">
        <v>35</v>
      </c>
      <c r="D118" s="25" t="s">
        <v>37</v>
      </c>
      <c r="E118" s="25" t="s">
        <v>38</v>
      </c>
      <c r="F118" s="23" t="s">
        <v>36</v>
      </c>
    </row>
    <row r="119" spans="1:6" x14ac:dyDescent="0.25">
      <c r="A119" s="24">
        <v>4852362</v>
      </c>
      <c r="B119" s="21" t="s">
        <v>34</v>
      </c>
      <c r="C119" s="22" t="s">
        <v>35</v>
      </c>
      <c r="D119" s="25" t="s">
        <v>51</v>
      </c>
      <c r="E119" s="25" t="s">
        <v>38</v>
      </c>
      <c r="F119" s="23" t="s">
        <v>36</v>
      </c>
    </row>
    <row r="120" spans="1:6" x14ac:dyDescent="0.25">
      <c r="A120" s="24">
        <v>4852363</v>
      </c>
      <c r="B120" s="21" t="s">
        <v>34</v>
      </c>
      <c r="C120" s="22" t="s">
        <v>35</v>
      </c>
      <c r="D120" s="25" t="s">
        <v>52</v>
      </c>
      <c r="E120" s="25" t="s">
        <v>38</v>
      </c>
      <c r="F120" s="23" t="s">
        <v>36</v>
      </c>
    </row>
    <row r="121" spans="1:6" x14ac:dyDescent="0.25">
      <c r="A121" s="24">
        <v>4850101</v>
      </c>
      <c r="B121" s="21" t="s">
        <v>34</v>
      </c>
      <c r="C121" s="22" t="s">
        <v>35</v>
      </c>
      <c r="D121" s="27" t="s">
        <v>53</v>
      </c>
      <c r="E121" s="25" t="s">
        <v>38</v>
      </c>
      <c r="F121" s="23" t="s">
        <v>36</v>
      </c>
    </row>
    <row r="122" spans="1:6" x14ac:dyDescent="0.25">
      <c r="A122" s="24">
        <v>4851001</v>
      </c>
      <c r="B122" s="21" t="s">
        <v>34</v>
      </c>
      <c r="C122" s="22" t="s">
        <v>35</v>
      </c>
      <c r="D122" s="27" t="s">
        <v>42</v>
      </c>
      <c r="E122" s="25" t="s">
        <v>38</v>
      </c>
      <c r="F122" s="23" t="s">
        <v>36</v>
      </c>
    </row>
    <row r="123" spans="1:6" x14ac:dyDescent="0.25">
      <c r="A123" s="24">
        <v>4854899</v>
      </c>
      <c r="B123" s="21" t="s">
        <v>34</v>
      </c>
      <c r="C123" s="22" t="s">
        <v>35</v>
      </c>
      <c r="D123" s="27" t="s">
        <v>83</v>
      </c>
      <c r="E123" s="25" t="s">
        <v>38</v>
      </c>
      <c r="F123" s="23" t="s">
        <v>409</v>
      </c>
    </row>
    <row r="124" spans="1:6" x14ac:dyDescent="0.25">
      <c r="A124" s="24">
        <v>4851962</v>
      </c>
      <c r="B124" s="21" t="s">
        <v>34</v>
      </c>
      <c r="C124" s="22" t="s">
        <v>35</v>
      </c>
      <c r="D124" s="27" t="s">
        <v>84</v>
      </c>
      <c r="E124" s="25" t="s">
        <v>38</v>
      </c>
      <c r="F124" s="23" t="s">
        <v>409</v>
      </c>
    </row>
    <row r="125" spans="1:6" x14ac:dyDescent="0.25">
      <c r="A125" s="24">
        <v>4854646</v>
      </c>
      <c r="B125" s="21" t="s">
        <v>34</v>
      </c>
      <c r="C125" s="22" t="s">
        <v>35</v>
      </c>
      <c r="D125" s="27" t="s">
        <v>78</v>
      </c>
      <c r="E125" s="25" t="s">
        <v>38</v>
      </c>
      <c r="F125" s="23" t="s">
        <v>409</v>
      </c>
    </row>
    <row r="126" spans="1:6" x14ac:dyDescent="0.25">
      <c r="A126" s="24">
        <v>4851769</v>
      </c>
      <c r="B126" s="21" t="s">
        <v>34</v>
      </c>
      <c r="C126" s="22" t="s">
        <v>35</v>
      </c>
      <c r="D126" s="27" t="s">
        <v>79</v>
      </c>
      <c r="E126" s="25" t="s">
        <v>38</v>
      </c>
      <c r="F126" s="23" t="s">
        <v>409</v>
      </c>
    </row>
    <row r="127" spans="1:6" x14ac:dyDescent="0.25">
      <c r="A127" s="24">
        <v>4856701</v>
      </c>
      <c r="B127" s="21" t="s">
        <v>34</v>
      </c>
      <c r="C127" s="22" t="s">
        <v>35</v>
      </c>
      <c r="D127" s="27" t="s">
        <v>77</v>
      </c>
      <c r="E127" s="25" t="s">
        <v>38</v>
      </c>
      <c r="F127" s="23" t="s">
        <v>409</v>
      </c>
    </row>
    <row r="128" spans="1:6" x14ac:dyDescent="0.25">
      <c r="A128" s="24">
        <v>4857976</v>
      </c>
      <c r="B128" s="21" t="s">
        <v>34</v>
      </c>
      <c r="C128" s="22" t="s">
        <v>35</v>
      </c>
      <c r="D128" s="27" t="s">
        <v>81</v>
      </c>
      <c r="E128" s="25" t="s">
        <v>38</v>
      </c>
      <c r="F128" s="23" t="s">
        <v>409</v>
      </c>
    </row>
    <row r="129" spans="1:6" x14ac:dyDescent="0.25">
      <c r="A129" s="24">
        <v>4851289</v>
      </c>
      <c r="B129" s="21" t="s">
        <v>34</v>
      </c>
      <c r="C129" s="22" t="s">
        <v>35</v>
      </c>
      <c r="D129" s="27" t="s">
        <v>76</v>
      </c>
      <c r="E129" s="25" t="s">
        <v>38</v>
      </c>
      <c r="F129" s="23" t="s">
        <v>409</v>
      </c>
    </row>
    <row r="130" spans="1:6" x14ac:dyDescent="0.25">
      <c r="A130" s="24">
        <v>4854915</v>
      </c>
      <c r="B130" s="21" t="s">
        <v>34</v>
      </c>
      <c r="C130" s="22" t="s">
        <v>35</v>
      </c>
      <c r="D130" s="27" t="s">
        <v>82</v>
      </c>
      <c r="E130" s="25" t="s">
        <v>38</v>
      </c>
      <c r="F130" s="23" t="s">
        <v>409</v>
      </c>
    </row>
    <row r="131" spans="1:6" x14ac:dyDescent="0.25">
      <c r="A131" s="24">
        <v>4859623</v>
      </c>
      <c r="B131" s="21" t="s">
        <v>34</v>
      </c>
      <c r="C131" s="22" t="s">
        <v>35</v>
      </c>
      <c r="D131" s="27" t="s">
        <v>85</v>
      </c>
      <c r="E131" s="25" t="s">
        <v>38</v>
      </c>
      <c r="F131" s="23" t="s">
        <v>409</v>
      </c>
    </row>
    <row r="132" spans="1:6" x14ac:dyDescent="0.25">
      <c r="A132" s="24">
        <v>4852721</v>
      </c>
      <c r="B132" s="21" t="s">
        <v>34</v>
      </c>
      <c r="C132" s="22" t="s">
        <v>35</v>
      </c>
      <c r="D132" s="27" t="s">
        <v>80</v>
      </c>
      <c r="E132" s="25" t="s">
        <v>38</v>
      </c>
      <c r="F132" s="23" t="s">
        <v>409</v>
      </c>
    </row>
    <row r="133" spans="1:6" x14ac:dyDescent="0.25">
      <c r="A133" s="24">
        <v>4857339</v>
      </c>
      <c r="B133" s="21" t="s">
        <v>34</v>
      </c>
      <c r="C133" s="22" t="s">
        <v>35</v>
      </c>
      <c r="D133" s="27" t="s">
        <v>86</v>
      </c>
      <c r="E133" s="25" t="s">
        <v>38</v>
      </c>
      <c r="F133" s="23" t="s">
        <v>409</v>
      </c>
    </row>
    <row r="134" spans="1:6" x14ac:dyDescent="0.25">
      <c r="A134" s="24">
        <v>4852581</v>
      </c>
      <c r="B134" s="21" t="s">
        <v>34</v>
      </c>
      <c r="C134" s="22" t="s">
        <v>35</v>
      </c>
      <c r="D134" s="27" t="s">
        <v>102</v>
      </c>
      <c r="E134" s="25" t="s">
        <v>38</v>
      </c>
      <c r="F134" s="23" t="s">
        <v>410</v>
      </c>
    </row>
    <row r="135" spans="1:6" x14ac:dyDescent="0.25">
      <c r="A135" s="24">
        <v>4851174</v>
      </c>
      <c r="B135" s="21" t="s">
        <v>34</v>
      </c>
      <c r="C135" s="22" t="s">
        <v>35</v>
      </c>
      <c r="D135" s="27" t="s">
        <v>103</v>
      </c>
      <c r="E135" s="25" t="s">
        <v>38</v>
      </c>
      <c r="F135" s="23" t="s">
        <v>410</v>
      </c>
    </row>
    <row r="136" spans="1:6" x14ac:dyDescent="0.25">
      <c r="A136" s="24">
        <v>4853960</v>
      </c>
      <c r="B136" s="21" t="s">
        <v>34</v>
      </c>
      <c r="C136" s="22" t="s">
        <v>35</v>
      </c>
      <c r="D136" s="27" t="s">
        <v>99</v>
      </c>
      <c r="E136" s="25" t="s">
        <v>38</v>
      </c>
      <c r="F136" s="23" t="s">
        <v>410</v>
      </c>
    </row>
    <row r="137" spans="1:6" x14ac:dyDescent="0.25">
      <c r="A137" s="24">
        <v>4853832</v>
      </c>
      <c r="B137" s="21" t="s">
        <v>34</v>
      </c>
      <c r="C137" s="22" t="s">
        <v>35</v>
      </c>
      <c r="D137" s="27" t="s">
        <v>100</v>
      </c>
      <c r="E137" s="25" t="s">
        <v>38</v>
      </c>
      <c r="F137" s="23" t="s">
        <v>410</v>
      </c>
    </row>
    <row r="138" spans="1:6" x14ac:dyDescent="0.25">
      <c r="A138" s="24">
        <v>4853091</v>
      </c>
      <c r="B138" s="21" t="s">
        <v>34</v>
      </c>
      <c r="C138" s="22" t="s">
        <v>35</v>
      </c>
      <c r="D138" s="27" t="s">
        <v>98</v>
      </c>
      <c r="E138" s="25" t="s">
        <v>38</v>
      </c>
      <c r="F138" s="23" t="s">
        <v>410</v>
      </c>
    </row>
    <row r="139" spans="1:6" x14ac:dyDescent="0.25">
      <c r="A139" s="24">
        <v>4853824</v>
      </c>
      <c r="B139" s="21" t="s">
        <v>34</v>
      </c>
      <c r="C139" s="22" t="s">
        <v>35</v>
      </c>
      <c r="D139" s="27" t="s">
        <v>97</v>
      </c>
      <c r="E139" s="25" t="s">
        <v>38</v>
      </c>
      <c r="F139" s="23" t="s">
        <v>410</v>
      </c>
    </row>
    <row r="140" spans="1:6" x14ac:dyDescent="0.25">
      <c r="A140" s="24">
        <v>4851315</v>
      </c>
      <c r="B140" s="21" t="s">
        <v>34</v>
      </c>
      <c r="C140" s="22" t="s">
        <v>35</v>
      </c>
      <c r="D140" s="27" t="s">
        <v>105</v>
      </c>
      <c r="E140" s="25" t="s">
        <v>38</v>
      </c>
      <c r="F140" s="23" t="s">
        <v>410</v>
      </c>
    </row>
    <row r="141" spans="1:6" x14ac:dyDescent="0.25">
      <c r="A141" s="24">
        <v>4859689</v>
      </c>
      <c r="B141" s="21" t="s">
        <v>34</v>
      </c>
      <c r="C141" s="22" t="s">
        <v>35</v>
      </c>
      <c r="D141" s="27" t="s">
        <v>109</v>
      </c>
      <c r="E141" s="25" t="s">
        <v>38</v>
      </c>
      <c r="F141" s="21" t="s">
        <v>410</v>
      </c>
    </row>
    <row r="142" spans="1:6" x14ac:dyDescent="0.25">
      <c r="A142" s="24">
        <v>4853823</v>
      </c>
      <c r="B142" s="21" t="s">
        <v>34</v>
      </c>
      <c r="C142" s="22" t="s">
        <v>35</v>
      </c>
      <c r="D142" s="27" t="s">
        <v>106</v>
      </c>
      <c r="E142" s="25" t="s">
        <v>38</v>
      </c>
      <c r="F142" s="21" t="s">
        <v>410</v>
      </c>
    </row>
    <row r="143" spans="1:6" x14ac:dyDescent="0.25">
      <c r="A143" s="24">
        <v>4850846</v>
      </c>
      <c r="B143" s="21" t="s">
        <v>34</v>
      </c>
      <c r="C143" s="22" t="s">
        <v>35</v>
      </c>
      <c r="D143" s="27" t="s">
        <v>107</v>
      </c>
      <c r="E143" s="25" t="s">
        <v>38</v>
      </c>
      <c r="F143" s="21" t="s">
        <v>410</v>
      </c>
    </row>
    <row r="144" spans="1:6" x14ac:dyDescent="0.25">
      <c r="A144" s="24">
        <v>4853254</v>
      </c>
      <c r="B144" s="21" t="s">
        <v>34</v>
      </c>
      <c r="C144" s="22" t="s">
        <v>35</v>
      </c>
      <c r="D144" s="27" t="s">
        <v>96</v>
      </c>
      <c r="E144" s="25" t="s">
        <v>38</v>
      </c>
      <c r="F144" s="21" t="s">
        <v>410</v>
      </c>
    </row>
    <row r="145" spans="1:6" x14ac:dyDescent="0.25">
      <c r="A145" s="24">
        <v>4853090</v>
      </c>
      <c r="B145" s="21" t="s">
        <v>34</v>
      </c>
      <c r="C145" s="22" t="s">
        <v>35</v>
      </c>
      <c r="D145" s="27" t="s">
        <v>95</v>
      </c>
      <c r="E145" s="25" t="s">
        <v>38</v>
      </c>
      <c r="F145" s="21" t="s">
        <v>410</v>
      </c>
    </row>
    <row r="146" spans="1:6" x14ac:dyDescent="0.25">
      <c r="A146" s="24">
        <v>4853519</v>
      </c>
      <c r="B146" s="21" t="s">
        <v>34</v>
      </c>
      <c r="C146" s="22" t="s">
        <v>35</v>
      </c>
      <c r="D146" s="27" t="s">
        <v>108</v>
      </c>
      <c r="E146" s="25" t="s">
        <v>38</v>
      </c>
      <c r="F146" s="21" t="s">
        <v>410</v>
      </c>
    </row>
    <row r="147" spans="1:6" x14ac:dyDescent="0.25">
      <c r="A147" s="24">
        <v>4855140</v>
      </c>
      <c r="B147" s="21" t="s">
        <v>34</v>
      </c>
      <c r="C147" s="22" t="s">
        <v>35</v>
      </c>
      <c r="D147" s="27" t="s">
        <v>133</v>
      </c>
      <c r="E147" s="25" t="s">
        <v>38</v>
      </c>
      <c r="F147" s="21" t="s">
        <v>411</v>
      </c>
    </row>
    <row r="148" spans="1:6" x14ac:dyDescent="0.25">
      <c r="A148" s="24">
        <v>4854509</v>
      </c>
      <c r="B148" s="21" t="s">
        <v>34</v>
      </c>
      <c r="C148" s="22" t="s">
        <v>35</v>
      </c>
      <c r="D148" s="27" t="s">
        <v>125</v>
      </c>
      <c r="E148" s="25" t="s">
        <v>38</v>
      </c>
      <c r="F148" s="21" t="s">
        <v>411</v>
      </c>
    </row>
    <row r="149" spans="1:6" x14ac:dyDescent="0.25">
      <c r="A149" s="24">
        <v>4854022</v>
      </c>
      <c r="B149" s="21" t="s">
        <v>34</v>
      </c>
      <c r="C149" s="22" t="s">
        <v>35</v>
      </c>
      <c r="D149" s="27" t="s">
        <v>127</v>
      </c>
      <c r="E149" s="25" t="s">
        <v>38</v>
      </c>
      <c r="F149" s="21" t="s">
        <v>411</v>
      </c>
    </row>
    <row r="150" spans="1:6" x14ac:dyDescent="0.25">
      <c r="A150" s="24">
        <v>4855415</v>
      </c>
      <c r="B150" s="21" t="s">
        <v>34</v>
      </c>
      <c r="C150" s="22" t="s">
        <v>35</v>
      </c>
      <c r="D150" s="27" t="s">
        <v>123</v>
      </c>
      <c r="E150" s="25" t="s">
        <v>38</v>
      </c>
      <c r="F150" s="21" t="s">
        <v>411</v>
      </c>
    </row>
    <row r="151" spans="1:6" x14ac:dyDescent="0.25">
      <c r="A151" s="24">
        <v>4852675</v>
      </c>
      <c r="B151" s="21" t="s">
        <v>34</v>
      </c>
      <c r="C151" s="22" t="s">
        <v>35</v>
      </c>
      <c r="D151" s="27" t="s">
        <v>135</v>
      </c>
      <c r="E151" s="25" t="s">
        <v>38</v>
      </c>
      <c r="F151" s="21" t="s">
        <v>411</v>
      </c>
    </row>
    <row r="152" spans="1:6" x14ac:dyDescent="0.25">
      <c r="A152" s="24">
        <v>4851584</v>
      </c>
      <c r="B152" s="21" t="s">
        <v>34</v>
      </c>
      <c r="C152" s="22" t="s">
        <v>35</v>
      </c>
      <c r="D152" s="27" t="s">
        <v>129</v>
      </c>
      <c r="E152" s="25" t="s">
        <v>38</v>
      </c>
      <c r="F152" s="23" t="s">
        <v>411</v>
      </c>
    </row>
    <row r="153" spans="1:6" x14ac:dyDescent="0.25">
      <c r="A153" s="24">
        <v>4858827</v>
      </c>
      <c r="B153" s="21" t="s">
        <v>34</v>
      </c>
      <c r="C153" s="22" t="s">
        <v>35</v>
      </c>
      <c r="D153" s="27" t="s">
        <v>134</v>
      </c>
      <c r="E153" s="25" t="s">
        <v>38</v>
      </c>
      <c r="F153" s="23" t="s">
        <v>411</v>
      </c>
    </row>
    <row r="154" spans="1:6" x14ac:dyDescent="0.25">
      <c r="A154" s="24">
        <v>4851588</v>
      </c>
      <c r="B154" s="21" t="s">
        <v>34</v>
      </c>
      <c r="C154" s="22" t="s">
        <v>35</v>
      </c>
      <c r="D154" s="27" t="s">
        <v>131</v>
      </c>
      <c r="E154" s="25" t="s">
        <v>38</v>
      </c>
      <c r="F154" s="23" t="s">
        <v>411</v>
      </c>
    </row>
    <row r="155" spans="1:6" x14ac:dyDescent="0.25">
      <c r="A155" s="24">
        <v>4850084</v>
      </c>
      <c r="B155" s="21" t="s">
        <v>34</v>
      </c>
      <c r="C155" s="22" t="s">
        <v>35</v>
      </c>
      <c r="D155" s="27" t="s">
        <v>122</v>
      </c>
      <c r="E155" s="25" t="s">
        <v>38</v>
      </c>
      <c r="F155" s="23" t="s">
        <v>411</v>
      </c>
    </row>
    <row r="156" spans="1:6" x14ac:dyDescent="0.25">
      <c r="A156" s="24">
        <v>4857104</v>
      </c>
      <c r="B156" s="21" t="s">
        <v>34</v>
      </c>
      <c r="C156" s="22" t="s">
        <v>35</v>
      </c>
      <c r="D156" s="27" t="s">
        <v>124</v>
      </c>
      <c r="E156" s="25" t="s">
        <v>38</v>
      </c>
      <c r="F156" s="23" t="s">
        <v>411</v>
      </c>
    </row>
    <row r="157" spans="1:6" x14ac:dyDescent="0.25">
      <c r="A157" s="24">
        <v>4852338</v>
      </c>
      <c r="B157" s="21" t="s">
        <v>34</v>
      </c>
      <c r="C157" s="22" t="s">
        <v>35</v>
      </c>
      <c r="D157" s="27" t="s">
        <v>132</v>
      </c>
      <c r="E157" s="25" t="s">
        <v>38</v>
      </c>
      <c r="F157" s="23" t="s">
        <v>411</v>
      </c>
    </row>
    <row r="158" spans="1:6" x14ac:dyDescent="0.25">
      <c r="A158" s="24">
        <v>4859652</v>
      </c>
      <c r="B158" s="21" t="s">
        <v>34</v>
      </c>
      <c r="C158" s="22" t="s">
        <v>35</v>
      </c>
      <c r="D158" s="27" t="s">
        <v>136</v>
      </c>
      <c r="E158" s="25" t="s">
        <v>38</v>
      </c>
      <c r="F158" s="23" t="s">
        <v>411</v>
      </c>
    </row>
    <row r="159" spans="1:6" x14ac:dyDescent="0.25">
      <c r="A159" s="24">
        <v>4853520</v>
      </c>
      <c r="B159" s="21" t="s">
        <v>34</v>
      </c>
      <c r="C159" s="22" t="s">
        <v>35</v>
      </c>
      <c r="D159" s="27" t="s">
        <v>130</v>
      </c>
      <c r="E159" s="25" t="s">
        <v>38</v>
      </c>
      <c r="F159" s="23" t="s">
        <v>411</v>
      </c>
    </row>
    <row r="160" spans="1:6" x14ac:dyDescent="0.25">
      <c r="A160" s="24">
        <v>4850822</v>
      </c>
      <c r="B160" s="21" t="s">
        <v>34</v>
      </c>
      <c r="C160" s="22" t="s">
        <v>35</v>
      </c>
      <c r="D160" s="27" t="s">
        <v>137</v>
      </c>
      <c r="E160" s="25" t="s">
        <v>38</v>
      </c>
      <c r="F160" s="23" t="s">
        <v>411</v>
      </c>
    </row>
    <row r="161" spans="1:6" x14ac:dyDescent="0.25">
      <c r="A161" s="24">
        <v>4850083</v>
      </c>
      <c r="B161" s="21" t="s">
        <v>34</v>
      </c>
      <c r="C161" s="22" t="s">
        <v>35</v>
      </c>
      <c r="D161" s="27" t="s">
        <v>126</v>
      </c>
      <c r="E161" s="25" t="s">
        <v>38</v>
      </c>
      <c r="F161" s="23" t="s">
        <v>411</v>
      </c>
    </row>
    <row r="162" spans="1:6" x14ac:dyDescent="0.25">
      <c r="A162" s="24">
        <v>4854972</v>
      </c>
      <c r="B162" s="21" t="s">
        <v>34</v>
      </c>
      <c r="C162" s="22" t="s">
        <v>35</v>
      </c>
      <c r="D162" s="27" t="s">
        <v>128</v>
      </c>
      <c r="E162" s="25" t="s">
        <v>38</v>
      </c>
      <c r="F162" s="23" t="s">
        <v>411</v>
      </c>
    </row>
    <row r="163" spans="1:6" x14ac:dyDescent="0.25">
      <c r="A163" s="24">
        <v>4850286</v>
      </c>
      <c r="B163" s="21" t="s">
        <v>34</v>
      </c>
      <c r="C163" s="22" t="s">
        <v>35</v>
      </c>
      <c r="D163" s="27" t="s">
        <v>58</v>
      </c>
      <c r="E163" s="25" t="s">
        <v>38</v>
      </c>
      <c r="F163" s="23" t="s">
        <v>412</v>
      </c>
    </row>
    <row r="164" spans="1:6" x14ac:dyDescent="0.25">
      <c r="A164" s="24">
        <v>4855943</v>
      </c>
      <c r="B164" s="21" t="s">
        <v>34</v>
      </c>
      <c r="C164" s="22" t="s">
        <v>35</v>
      </c>
      <c r="D164" s="27" t="s">
        <v>59</v>
      </c>
      <c r="E164" s="25" t="s">
        <v>38</v>
      </c>
      <c r="F164" s="23" t="s">
        <v>412</v>
      </c>
    </row>
    <row r="165" spans="1:6" x14ac:dyDescent="0.25">
      <c r="A165" s="24">
        <v>4850287</v>
      </c>
      <c r="B165" s="21" t="s">
        <v>34</v>
      </c>
      <c r="C165" s="22" t="s">
        <v>35</v>
      </c>
      <c r="D165" s="27" t="s">
        <v>66</v>
      </c>
      <c r="E165" s="25" t="s">
        <v>38</v>
      </c>
      <c r="F165" s="23" t="s">
        <v>412</v>
      </c>
    </row>
    <row r="166" spans="1:6" x14ac:dyDescent="0.25">
      <c r="A166" s="24">
        <v>4855621</v>
      </c>
      <c r="B166" s="21" t="s">
        <v>34</v>
      </c>
      <c r="C166" s="22" t="s">
        <v>35</v>
      </c>
      <c r="D166" s="27" t="s">
        <v>60</v>
      </c>
      <c r="E166" s="25" t="s">
        <v>38</v>
      </c>
      <c r="F166" s="23" t="s">
        <v>412</v>
      </c>
    </row>
    <row r="167" spans="1:6" x14ac:dyDescent="0.25">
      <c r="A167" s="24">
        <v>4851209</v>
      </c>
      <c r="B167" s="21" t="s">
        <v>34</v>
      </c>
      <c r="C167" s="22" t="s">
        <v>35</v>
      </c>
      <c r="D167" s="27" t="s">
        <v>65</v>
      </c>
      <c r="E167" s="25" t="s">
        <v>38</v>
      </c>
      <c r="F167" s="23" t="s">
        <v>412</v>
      </c>
    </row>
    <row r="168" spans="1:6" x14ac:dyDescent="0.25">
      <c r="A168" s="24">
        <v>4851606</v>
      </c>
      <c r="B168" s="21" t="s">
        <v>34</v>
      </c>
      <c r="C168" s="22" t="s">
        <v>35</v>
      </c>
      <c r="D168" s="27" t="s">
        <v>64</v>
      </c>
      <c r="E168" s="25" t="s">
        <v>38</v>
      </c>
      <c r="F168" s="23" t="s">
        <v>412</v>
      </c>
    </row>
    <row r="169" spans="1:6" x14ac:dyDescent="0.25">
      <c r="A169" s="24">
        <v>4852356</v>
      </c>
      <c r="B169" s="21" t="s">
        <v>34</v>
      </c>
      <c r="C169" s="22" t="s">
        <v>35</v>
      </c>
      <c r="D169" s="27" t="s">
        <v>56</v>
      </c>
      <c r="E169" s="25" t="s">
        <v>38</v>
      </c>
      <c r="F169" s="23" t="s">
        <v>412</v>
      </c>
    </row>
    <row r="170" spans="1:6" x14ac:dyDescent="0.25">
      <c r="A170" s="24">
        <v>4853818</v>
      </c>
      <c r="B170" s="21" t="s">
        <v>34</v>
      </c>
      <c r="C170" s="22" t="s">
        <v>35</v>
      </c>
      <c r="D170" s="27" t="s">
        <v>55</v>
      </c>
      <c r="E170" s="25" t="s">
        <v>38</v>
      </c>
      <c r="F170" s="23" t="s">
        <v>412</v>
      </c>
    </row>
    <row r="171" spans="1:6" x14ac:dyDescent="0.25">
      <c r="A171" s="24">
        <v>4856647</v>
      </c>
      <c r="B171" s="21" t="s">
        <v>34</v>
      </c>
      <c r="C171" s="22" t="s">
        <v>35</v>
      </c>
      <c r="D171" s="27" t="s">
        <v>57</v>
      </c>
      <c r="E171" s="25" t="s">
        <v>38</v>
      </c>
      <c r="F171" s="23" t="s">
        <v>412</v>
      </c>
    </row>
    <row r="172" spans="1:6" x14ac:dyDescent="0.25">
      <c r="A172" s="24">
        <v>4859596</v>
      </c>
      <c r="B172" s="21" t="s">
        <v>34</v>
      </c>
      <c r="C172" s="22" t="s">
        <v>35</v>
      </c>
      <c r="D172" s="27" t="s">
        <v>68</v>
      </c>
      <c r="E172" s="25" t="s">
        <v>38</v>
      </c>
      <c r="F172" s="23" t="s">
        <v>412</v>
      </c>
    </row>
    <row r="173" spans="1:6" x14ac:dyDescent="0.25">
      <c r="A173" s="24">
        <v>4853085</v>
      </c>
      <c r="B173" s="21" t="s">
        <v>34</v>
      </c>
      <c r="C173" s="22" t="s">
        <v>35</v>
      </c>
      <c r="D173" s="27" t="s">
        <v>67</v>
      </c>
      <c r="E173" s="25" t="s">
        <v>38</v>
      </c>
      <c r="F173" s="23" t="s">
        <v>412</v>
      </c>
    </row>
    <row r="174" spans="1:6" x14ac:dyDescent="0.25">
      <c r="A174" s="24">
        <v>4853817</v>
      </c>
      <c r="B174" s="21" t="s">
        <v>34</v>
      </c>
      <c r="C174" s="22" t="s">
        <v>35</v>
      </c>
      <c r="D174" s="27" t="s">
        <v>61</v>
      </c>
      <c r="E174" s="25" t="s">
        <v>38</v>
      </c>
      <c r="F174" s="21" t="s">
        <v>412</v>
      </c>
    </row>
    <row r="175" spans="1:6" x14ac:dyDescent="0.25">
      <c r="A175" s="24">
        <v>4851293</v>
      </c>
      <c r="B175" s="21" t="s">
        <v>34</v>
      </c>
      <c r="C175" s="22" t="s">
        <v>35</v>
      </c>
      <c r="D175" s="27" t="s">
        <v>62</v>
      </c>
      <c r="E175" s="25" t="s">
        <v>38</v>
      </c>
      <c r="F175" s="21" t="s">
        <v>412</v>
      </c>
    </row>
    <row r="176" spans="1:6" x14ac:dyDescent="0.25">
      <c r="A176" s="24">
        <v>4851984</v>
      </c>
      <c r="B176" s="21" t="s">
        <v>34</v>
      </c>
      <c r="C176" s="22" t="s">
        <v>35</v>
      </c>
      <c r="D176" s="27" t="s">
        <v>69</v>
      </c>
      <c r="E176" s="25" t="s">
        <v>38</v>
      </c>
      <c r="F176" s="21" t="s">
        <v>412</v>
      </c>
    </row>
    <row r="177" spans="1:6" x14ac:dyDescent="0.25">
      <c r="A177" s="24">
        <v>4854686</v>
      </c>
      <c r="B177" s="21" t="s">
        <v>34</v>
      </c>
      <c r="C177" s="22" t="s">
        <v>35</v>
      </c>
      <c r="D177" s="27" t="s">
        <v>112</v>
      </c>
      <c r="E177" s="25" t="s">
        <v>38</v>
      </c>
      <c r="F177" s="21" t="s">
        <v>413</v>
      </c>
    </row>
    <row r="178" spans="1:6" x14ac:dyDescent="0.25">
      <c r="A178" s="24">
        <v>4850844</v>
      </c>
      <c r="B178" s="21" t="s">
        <v>34</v>
      </c>
      <c r="C178" s="22" t="s">
        <v>35</v>
      </c>
      <c r="D178" s="27" t="s">
        <v>114</v>
      </c>
      <c r="E178" s="25" t="s">
        <v>38</v>
      </c>
      <c r="F178" s="21" t="s">
        <v>413</v>
      </c>
    </row>
    <row r="179" spans="1:6" x14ac:dyDescent="0.25">
      <c r="A179" s="24">
        <v>4853822</v>
      </c>
      <c r="B179" s="21" t="s">
        <v>34</v>
      </c>
      <c r="C179" s="22" t="s">
        <v>35</v>
      </c>
      <c r="D179" s="27" t="s">
        <v>115</v>
      </c>
      <c r="E179" s="25" t="s">
        <v>38</v>
      </c>
      <c r="F179" s="21" t="s">
        <v>413</v>
      </c>
    </row>
    <row r="180" spans="1:6" x14ac:dyDescent="0.25">
      <c r="A180" s="24">
        <v>4854528</v>
      </c>
      <c r="B180" s="21" t="s">
        <v>34</v>
      </c>
      <c r="C180" s="22" t="s">
        <v>35</v>
      </c>
      <c r="D180" s="27" t="s">
        <v>116</v>
      </c>
      <c r="E180" s="25" t="s">
        <v>38</v>
      </c>
      <c r="F180" s="21" t="s">
        <v>413</v>
      </c>
    </row>
    <row r="181" spans="1:6" x14ac:dyDescent="0.25">
      <c r="A181" s="24">
        <v>4851614</v>
      </c>
      <c r="B181" s="21" t="s">
        <v>34</v>
      </c>
      <c r="C181" s="22" t="s">
        <v>35</v>
      </c>
      <c r="D181" s="27" t="s">
        <v>117</v>
      </c>
      <c r="E181" s="25" t="s">
        <v>38</v>
      </c>
      <c r="F181" s="21" t="s">
        <v>413</v>
      </c>
    </row>
    <row r="182" spans="1:6" x14ac:dyDescent="0.25">
      <c r="A182" s="24">
        <v>4855416</v>
      </c>
      <c r="B182" s="21" t="s">
        <v>34</v>
      </c>
      <c r="C182" s="22" t="s">
        <v>35</v>
      </c>
      <c r="D182" s="27" t="s">
        <v>118</v>
      </c>
      <c r="E182" s="25" t="s">
        <v>38</v>
      </c>
      <c r="F182" s="23" t="s">
        <v>413</v>
      </c>
    </row>
    <row r="183" spans="1:6" x14ac:dyDescent="0.25">
      <c r="A183" s="24">
        <v>4854527</v>
      </c>
      <c r="B183" s="21" t="s">
        <v>34</v>
      </c>
      <c r="C183" s="22" t="s">
        <v>35</v>
      </c>
      <c r="D183" s="27" t="s">
        <v>119</v>
      </c>
      <c r="E183" s="25" t="s">
        <v>38</v>
      </c>
      <c r="F183" s="23" t="s">
        <v>413</v>
      </c>
    </row>
    <row r="184" spans="1:6" x14ac:dyDescent="0.25">
      <c r="A184" s="24">
        <v>4854529</v>
      </c>
      <c r="B184" s="21" t="s">
        <v>34</v>
      </c>
      <c r="C184" s="22" t="s">
        <v>35</v>
      </c>
      <c r="D184" s="27" t="s">
        <v>111</v>
      </c>
      <c r="E184" s="25" t="s">
        <v>38</v>
      </c>
      <c r="F184" s="23" t="s">
        <v>413</v>
      </c>
    </row>
    <row r="185" spans="1:6" x14ac:dyDescent="0.25">
      <c r="A185" s="24">
        <v>4855311</v>
      </c>
      <c r="B185" s="21" t="s">
        <v>34</v>
      </c>
      <c r="C185" s="22" t="s">
        <v>35</v>
      </c>
      <c r="D185" s="27" t="s">
        <v>121</v>
      </c>
      <c r="E185" s="25" t="s">
        <v>38</v>
      </c>
      <c r="F185" s="23" t="s">
        <v>413</v>
      </c>
    </row>
    <row r="186" spans="1:6" x14ac:dyDescent="0.25">
      <c r="A186" s="24">
        <v>4855868</v>
      </c>
      <c r="B186" s="21" t="s">
        <v>34</v>
      </c>
      <c r="C186" s="22" t="s">
        <v>35</v>
      </c>
      <c r="D186" s="27" t="s">
        <v>88</v>
      </c>
      <c r="E186" s="25" t="s">
        <v>38</v>
      </c>
      <c r="F186" s="23"/>
    </row>
    <row r="187" spans="1:6" x14ac:dyDescent="0.25">
      <c r="A187" s="24">
        <v>4851481</v>
      </c>
      <c r="B187" s="21" t="s">
        <v>34</v>
      </c>
      <c r="C187" s="22" t="s">
        <v>35</v>
      </c>
      <c r="D187" s="27" t="s">
        <v>89</v>
      </c>
      <c r="E187" s="25" t="s">
        <v>38</v>
      </c>
      <c r="F187" s="23"/>
    </row>
    <row r="188" spans="1:6" x14ac:dyDescent="0.25">
      <c r="A188" s="24">
        <v>4850263</v>
      </c>
      <c r="B188" s="21" t="s">
        <v>34</v>
      </c>
      <c r="C188" s="22" t="s">
        <v>35</v>
      </c>
      <c r="D188" s="27" t="s">
        <v>101</v>
      </c>
      <c r="E188" s="25" t="s">
        <v>38</v>
      </c>
      <c r="F188" s="23"/>
    </row>
    <row r="189" spans="1:6" x14ac:dyDescent="0.25">
      <c r="A189" s="24">
        <v>4850107</v>
      </c>
      <c r="B189" s="21" t="s">
        <v>34</v>
      </c>
      <c r="C189" s="22" t="s">
        <v>35</v>
      </c>
      <c r="D189" s="27" t="s">
        <v>104</v>
      </c>
      <c r="E189" s="25" t="s">
        <v>38</v>
      </c>
      <c r="F189" s="21"/>
    </row>
    <row r="190" spans="1:6" x14ac:dyDescent="0.25">
      <c r="A190" s="24">
        <v>4852361</v>
      </c>
      <c r="B190" s="21" t="s">
        <v>34</v>
      </c>
      <c r="C190" s="22" t="s">
        <v>35</v>
      </c>
      <c r="D190" s="27" t="s">
        <v>110</v>
      </c>
      <c r="E190" s="25" t="s">
        <v>38</v>
      </c>
      <c r="F190" s="21"/>
    </row>
    <row r="191" spans="1:6" x14ac:dyDescent="0.25">
      <c r="A191" s="24">
        <v>4851472</v>
      </c>
      <c r="B191" s="21" t="s">
        <v>34</v>
      </c>
      <c r="C191" s="22" t="s">
        <v>35</v>
      </c>
      <c r="D191" s="27" t="s">
        <v>72</v>
      </c>
      <c r="E191" s="25" t="s">
        <v>38</v>
      </c>
      <c r="F191" s="23"/>
    </row>
    <row r="192" spans="1:6" x14ac:dyDescent="0.25">
      <c r="A192" s="24">
        <v>4852233</v>
      </c>
      <c r="B192" s="21" t="s">
        <v>34</v>
      </c>
      <c r="C192" s="22" t="s">
        <v>35</v>
      </c>
      <c r="D192" s="27" t="s">
        <v>73</v>
      </c>
      <c r="E192" s="25" t="s">
        <v>38</v>
      </c>
      <c r="F192" s="23"/>
    </row>
    <row r="193" spans="1:6" x14ac:dyDescent="0.25">
      <c r="A193" s="24">
        <v>4854875</v>
      </c>
      <c r="B193" s="21" t="s">
        <v>34</v>
      </c>
      <c r="C193" s="22" t="s">
        <v>35</v>
      </c>
      <c r="D193" s="27" t="s">
        <v>70</v>
      </c>
      <c r="E193" s="25" t="s">
        <v>38</v>
      </c>
      <c r="F193" s="23"/>
    </row>
    <row r="194" spans="1:6" x14ac:dyDescent="0.25">
      <c r="A194" s="24">
        <v>4857110</v>
      </c>
      <c r="B194" s="21" t="s">
        <v>34</v>
      </c>
      <c r="C194" s="22" t="s">
        <v>35</v>
      </c>
      <c r="D194" s="27" t="s">
        <v>74</v>
      </c>
      <c r="E194" s="25" t="s">
        <v>38</v>
      </c>
      <c r="F194" s="21"/>
    </row>
    <row r="195" spans="1:6" x14ac:dyDescent="0.25">
      <c r="A195" s="24">
        <v>4858135</v>
      </c>
      <c r="B195" s="21" t="s">
        <v>34</v>
      </c>
      <c r="C195" s="22" t="s">
        <v>35</v>
      </c>
      <c r="D195" s="27" t="s">
        <v>75</v>
      </c>
      <c r="E195" s="25" t="s">
        <v>38</v>
      </c>
      <c r="F195" s="21"/>
    </row>
    <row r="196" spans="1:6" x14ac:dyDescent="0.25">
      <c r="A196" s="24">
        <v>4855683</v>
      </c>
      <c r="B196" s="21" t="s">
        <v>34</v>
      </c>
      <c r="C196" s="22" t="s">
        <v>35</v>
      </c>
      <c r="D196" s="27" t="s">
        <v>71</v>
      </c>
      <c r="E196" s="25" t="s">
        <v>38</v>
      </c>
      <c r="F196" s="21"/>
    </row>
    <row r="197" spans="1:6" x14ac:dyDescent="0.25">
      <c r="A197" s="24">
        <v>4850098</v>
      </c>
      <c r="B197" s="21" t="s">
        <v>34</v>
      </c>
      <c r="C197" s="22" t="s">
        <v>35</v>
      </c>
      <c r="D197" s="27" t="s">
        <v>63</v>
      </c>
      <c r="E197" s="25" t="s">
        <v>38</v>
      </c>
      <c r="F197" s="21"/>
    </row>
    <row r="198" spans="1:6" x14ac:dyDescent="0.25">
      <c r="A198" s="24">
        <v>4853088</v>
      </c>
      <c r="B198" s="21" t="s">
        <v>34</v>
      </c>
      <c r="C198" s="22" t="s">
        <v>35</v>
      </c>
      <c r="D198" s="25" t="s">
        <v>113</v>
      </c>
      <c r="E198" s="25" t="s">
        <v>38</v>
      </c>
      <c r="F198" s="23"/>
    </row>
    <row r="199" spans="1:6" x14ac:dyDescent="0.25">
      <c r="A199" s="24">
        <v>4850845</v>
      </c>
      <c r="B199" s="21" t="s">
        <v>34</v>
      </c>
      <c r="C199" s="22" t="s">
        <v>35</v>
      </c>
      <c r="D199" s="25" t="s">
        <v>120</v>
      </c>
      <c r="E199" s="25" t="s">
        <v>38</v>
      </c>
      <c r="F199" s="23"/>
    </row>
    <row r="200" spans="1:6" x14ac:dyDescent="0.25">
      <c r="A200" s="24">
        <v>4857174</v>
      </c>
      <c r="B200" s="21" t="s">
        <v>274</v>
      </c>
      <c r="C200" s="21" t="s">
        <v>374</v>
      </c>
      <c r="D200" s="25" t="s">
        <v>375</v>
      </c>
      <c r="E200" s="25" t="s">
        <v>251</v>
      </c>
      <c r="F200" s="23" t="s">
        <v>278</v>
      </c>
    </row>
    <row r="201" spans="1:6" x14ac:dyDescent="0.25">
      <c r="A201" s="24">
        <v>4854354</v>
      </c>
      <c r="B201" s="21" t="s">
        <v>274</v>
      </c>
      <c r="C201" s="21" t="s">
        <v>374</v>
      </c>
      <c r="D201" s="25" t="s">
        <v>376</v>
      </c>
      <c r="E201" s="25" t="s">
        <v>251</v>
      </c>
      <c r="F201" s="23" t="s">
        <v>278</v>
      </c>
    </row>
    <row r="202" spans="1:6" x14ac:dyDescent="0.25">
      <c r="A202" s="24">
        <v>4855384</v>
      </c>
      <c r="B202" s="21" t="s">
        <v>274</v>
      </c>
      <c r="C202" s="21" t="s">
        <v>374</v>
      </c>
      <c r="D202" s="25" t="s">
        <v>377</v>
      </c>
      <c r="E202" s="25" t="s">
        <v>251</v>
      </c>
      <c r="F202" s="23" t="s">
        <v>278</v>
      </c>
    </row>
    <row r="203" spans="1:6" x14ac:dyDescent="0.25">
      <c r="A203" s="24">
        <v>4850092</v>
      </c>
      <c r="B203" s="21" t="s">
        <v>274</v>
      </c>
      <c r="C203" s="21" t="s">
        <v>374</v>
      </c>
      <c r="D203" s="25" t="s">
        <v>378</v>
      </c>
      <c r="E203" s="25" t="s">
        <v>251</v>
      </c>
      <c r="F203" s="23" t="s">
        <v>278</v>
      </c>
    </row>
    <row r="204" spans="1:6" x14ac:dyDescent="0.25">
      <c r="A204" s="24">
        <v>4853646</v>
      </c>
      <c r="B204" s="21" t="s">
        <v>274</v>
      </c>
      <c r="C204" s="21" t="s">
        <v>374</v>
      </c>
      <c r="D204" s="25" t="s">
        <v>379</v>
      </c>
      <c r="E204" s="25" t="s">
        <v>251</v>
      </c>
      <c r="F204" s="23" t="s">
        <v>278</v>
      </c>
    </row>
    <row r="205" spans="1:6" x14ac:dyDescent="0.25">
      <c r="A205" s="24">
        <v>4855695</v>
      </c>
      <c r="B205" s="21" t="s">
        <v>274</v>
      </c>
      <c r="C205" s="21" t="s">
        <v>374</v>
      </c>
      <c r="D205" s="25" t="s">
        <v>380</v>
      </c>
      <c r="E205" s="25" t="s">
        <v>251</v>
      </c>
      <c r="F205" s="23" t="s">
        <v>278</v>
      </c>
    </row>
    <row r="206" spans="1:6" x14ac:dyDescent="0.25">
      <c r="A206" s="24">
        <v>4851147</v>
      </c>
      <c r="B206" s="21" t="s">
        <v>274</v>
      </c>
      <c r="C206" s="21" t="s">
        <v>374</v>
      </c>
      <c r="D206" s="25" t="s">
        <v>381</v>
      </c>
      <c r="E206" s="25" t="s">
        <v>251</v>
      </c>
      <c r="F206" s="23" t="s">
        <v>278</v>
      </c>
    </row>
    <row r="207" spans="1:6" x14ac:dyDescent="0.25">
      <c r="A207" s="24">
        <v>4853431</v>
      </c>
      <c r="B207" s="21" t="s">
        <v>274</v>
      </c>
      <c r="C207" s="21" t="s">
        <v>374</v>
      </c>
      <c r="D207" s="25" t="s">
        <v>382</v>
      </c>
      <c r="E207" s="25" t="s">
        <v>251</v>
      </c>
      <c r="F207" s="23" t="s">
        <v>278</v>
      </c>
    </row>
    <row r="208" spans="1:6" x14ac:dyDescent="0.25">
      <c r="A208" s="24">
        <v>4850997</v>
      </c>
      <c r="B208" s="21" t="s">
        <v>274</v>
      </c>
      <c r="C208" s="21" t="s">
        <v>374</v>
      </c>
      <c r="D208" s="25" t="s">
        <v>383</v>
      </c>
      <c r="E208" s="25" t="s">
        <v>251</v>
      </c>
      <c r="F208" s="23" t="s">
        <v>278</v>
      </c>
    </row>
    <row r="209" spans="1:6" x14ac:dyDescent="0.25">
      <c r="A209" s="24">
        <v>4857096</v>
      </c>
      <c r="B209" s="21" t="s">
        <v>274</v>
      </c>
      <c r="C209" s="21" t="s">
        <v>275</v>
      </c>
      <c r="D209" s="25" t="s">
        <v>277</v>
      </c>
      <c r="E209" s="25" t="s">
        <v>251</v>
      </c>
      <c r="F209" s="21" t="s">
        <v>276</v>
      </c>
    </row>
    <row r="210" spans="1:6" x14ac:dyDescent="0.25">
      <c r="A210" s="24">
        <v>4850091</v>
      </c>
      <c r="B210" s="21" t="s">
        <v>274</v>
      </c>
      <c r="C210" s="21" t="s">
        <v>275</v>
      </c>
      <c r="D210" s="25" t="s">
        <v>279</v>
      </c>
      <c r="E210" s="25" t="s">
        <v>251</v>
      </c>
      <c r="F210" s="21" t="s">
        <v>278</v>
      </c>
    </row>
    <row r="211" spans="1:6" x14ac:dyDescent="0.25">
      <c r="A211" s="24">
        <v>4855148</v>
      </c>
      <c r="B211" s="21" t="s">
        <v>274</v>
      </c>
      <c r="C211" s="21" t="s">
        <v>275</v>
      </c>
      <c r="D211" s="25" t="s">
        <v>280</v>
      </c>
      <c r="E211" s="25" t="s">
        <v>251</v>
      </c>
      <c r="F211" s="21" t="s">
        <v>278</v>
      </c>
    </row>
    <row r="212" spans="1:6" x14ac:dyDescent="0.25">
      <c r="A212" s="24">
        <v>4853647</v>
      </c>
      <c r="B212" s="21" t="s">
        <v>274</v>
      </c>
      <c r="C212" s="21" t="s">
        <v>275</v>
      </c>
      <c r="D212" s="25" t="s">
        <v>281</v>
      </c>
      <c r="E212" s="25" t="s">
        <v>251</v>
      </c>
      <c r="F212" s="21" t="s">
        <v>276</v>
      </c>
    </row>
    <row r="213" spans="1:6" x14ac:dyDescent="0.25">
      <c r="A213" s="24">
        <v>4852041</v>
      </c>
      <c r="B213" s="21" t="s">
        <v>274</v>
      </c>
      <c r="C213" s="21" t="s">
        <v>275</v>
      </c>
      <c r="D213" s="25" t="s">
        <v>282</v>
      </c>
      <c r="E213" s="25" t="s">
        <v>251</v>
      </c>
      <c r="F213" s="21" t="s">
        <v>278</v>
      </c>
    </row>
    <row r="214" spans="1:6" x14ac:dyDescent="0.25">
      <c r="A214" s="24">
        <v>4852012</v>
      </c>
      <c r="B214" s="21" t="s">
        <v>274</v>
      </c>
      <c r="C214" s="21" t="s">
        <v>275</v>
      </c>
      <c r="D214" s="25" t="s">
        <v>283</v>
      </c>
      <c r="E214" s="25" t="s">
        <v>251</v>
      </c>
      <c r="F214" s="21" t="s">
        <v>276</v>
      </c>
    </row>
    <row r="215" spans="1:6" x14ac:dyDescent="0.25">
      <c r="A215" s="24">
        <v>4856273</v>
      </c>
      <c r="B215" s="21" t="s">
        <v>274</v>
      </c>
      <c r="C215" s="21" t="s">
        <v>275</v>
      </c>
      <c r="D215" s="25" t="s">
        <v>284</v>
      </c>
      <c r="E215" s="25" t="s">
        <v>251</v>
      </c>
      <c r="F215" s="21" t="s">
        <v>278</v>
      </c>
    </row>
    <row r="216" spans="1:6" x14ac:dyDescent="0.25">
      <c r="A216" s="24">
        <v>4858818</v>
      </c>
      <c r="B216" s="21" t="s">
        <v>274</v>
      </c>
      <c r="C216" s="21" t="s">
        <v>275</v>
      </c>
      <c r="D216" s="25" t="s">
        <v>285</v>
      </c>
      <c r="E216" s="25" t="s">
        <v>251</v>
      </c>
      <c r="F216" s="21" t="s">
        <v>278</v>
      </c>
    </row>
    <row r="217" spans="1:6" x14ac:dyDescent="0.25">
      <c r="A217" s="24">
        <v>4852880</v>
      </c>
      <c r="B217" s="21" t="s">
        <v>274</v>
      </c>
      <c r="C217" s="21" t="s">
        <v>326</v>
      </c>
      <c r="D217" s="25" t="s">
        <v>327</v>
      </c>
      <c r="E217" s="25" t="s">
        <v>251</v>
      </c>
      <c r="F217" s="23" t="s">
        <v>276</v>
      </c>
    </row>
    <row r="218" spans="1:6" x14ac:dyDescent="0.25">
      <c r="A218" s="24">
        <v>4853812</v>
      </c>
      <c r="B218" s="21" t="s">
        <v>274</v>
      </c>
      <c r="C218" s="21" t="s">
        <v>326</v>
      </c>
      <c r="D218" s="25" t="s">
        <v>328</v>
      </c>
      <c r="E218" s="25" t="s">
        <v>251</v>
      </c>
      <c r="F218" s="23" t="s">
        <v>276</v>
      </c>
    </row>
    <row r="219" spans="1:6" x14ac:dyDescent="0.25">
      <c r="A219" s="24">
        <v>4850662</v>
      </c>
      <c r="B219" s="21" t="s">
        <v>274</v>
      </c>
      <c r="C219" s="21" t="s">
        <v>326</v>
      </c>
      <c r="D219" s="25" t="s">
        <v>329</v>
      </c>
      <c r="E219" s="25" t="s">
        <v>251</v>
      </c>
      <c r="F219" s="23" t="s">
        <v>276</v>
      </c>
    </row>
    <row r="220" spans="1:6" x14ac:dyDescent="0.25">
      <c r="A220" s="24">
        <v>4854254</v>
      </c>
      <c r="B220" s="21" t="s">
        <v>274</v>
      </c>
      <c r="C220" s="21" t="s">
        <v>326</v>
      </c>
      <c r="D220" s="25" t="s">
        <v>330</v>
      </c>
      <c r="E220" s="25" t="s">
        <v>251</v>
      </c>
      <c r="F220" s="23" t="s">
        <v>276</v>
      </c>
    </row>
    <row r="221" spans="1:6" x14ac:dyDescent="0.25">
      <c r="A221" s="24">
        <v>4852669</v>
      </c>
      <c r="B221" s="21" t="s">
        <v>274</v>
      </c>
      <c r="C221" s="21" t="s">
        <v>326</v>
      </c>
      <c r="D221" s="25" t="s">
        <v>331</v>
      </c>
      <c r="E221" s="25" t="s">
        <v>251</v>
      </c>
      <c r="F221" s="23" t="s">
        <v>276</v>
      </c>
    </row>
    <row r="222" spans="1:6" x14ac:dyDescent="0.25">
      <c r="A222" s="24">
        <v>4851002</v>
      </c>
      <c r="B222" s="21" t="s">
        <v>274</v>
      </c>
      <c r="C222" s="21" t="s">
        <v>326</v>
      </c>
      <c r="D222" s="27" t="s">
        <v>332</v>
      </c>
      <c r="E222" s="25" t="s">
        <v>251</v>
      </c>
      <c r="F222" s="23" t="s">
        <v>276</v>
      </c>
    </row>
    <row r="223" spans="1:6" x14ac:dyDescent="0.25">
      <c r="A223" s="24">
        <v>4854945</v>
      </c>
      <c r="B223" s="21" t="s">
        <v>274</v>
      </c>
      <c r="C223" s="21" t="s">
        <v>326</v>
      </c>
      <c r="D223" s="27" t="s">
        <v>333</v>
      </c>
      <c r="E223" s="25" t="s">
        <v>251</v>
      </c>
      <c r="F223" s="23" t="s">
        <v>276</v>
      </c>
    </row>
    <row r="224" spans="1:6" x14ac:dyDescent="0.25">
      <c r="A224" s="24">
        <v>4854117</v>
      </c>
      <c r="B224" s="21" t="s">
        <v>274</v>
      </c>
      <c r="C224" s="21" t="s">
        <v>326</v>
      </c>
      <c r="D224" s="25" t="s">
        <v>334</v>
      </c>
      <c r="E224" s="25" t="s">
        <v>251</v>
      </c>
      <c r="F224" s="23" t="s">
        <v>276</v>
      </c>
    </row>
    <row r="225" spans="1:6" x14ac:dyDescent="0.25">
      <c r="A225" s="24">
        <v>4850400</v>
      </c>
      <c r="B225" s="21" t="s">
        <v>274</v>
      </c>
      <c r="C225" s="21" t="s">
        <v>326</v>
      </c>
      <c r="D225" s="25" t="s">
        <v>335</v>
      </c>
      <c r="E225" s="25" t="s">
        <v>251</v>
      </c>
      <c r="F225" s="23" t="s">
        <v>276</v>
      </c>
    </row>
    <row r="226" spans="1:6" x14ac:dyDescent="0.25">
      <c r="A226" s="24">
        <v>4852360</v>
      </c>
      <c r="B226" s="21" t="s">
        <v>274</v>
      </c>
      <c r="C226" s="21" t="s">
        <v>326</v>
      </c>
      <c r="D226" s="25" t="s">
        <v>336</v>
      </c>
      <c r="E226" s="25" t="s">
        <v>251</v>
      </c>
      <c r="F226" s="23" t="s">
        <v>276</v>
      </c>
    </row>
    <row r="227" spans="1:6" x14ac:dyDescent="0.25">
      <c r="A227" s="24">
        <v>4850647</v>
      </c>
      <c r="B227" s="21" t="s">
        <v>9</v>
      </c>
      <c r="C227" s="21" t="s">
        <v>171</v>
      </c>
      <c r="D227" s="25" t="s">
        <v>183</v>
      </c>
      <c r="E227" s="25" t="s">
        <v>141</v>
      </c>
      <c r="F227" s="23" t="s">
        <v>172</v>
      </c>
    </row>
    <row r="228" spans="1:6" x14ac:dyDescent="0.25">
      <c r="A228" s="24">
        <v>4851759</v>
      </c>
      <c r="B228" s="21" t="s">
        <v>9</v>
      </c>
      <c r="C228" s="21" t="s">
        <v>171</v>
      </c>
      <c r="D228" s="25" t="s">
        <v>178</v>
      </c>
      <c r="E228" s="25" t="s">
        <v>141</v>
      </c>
      <c r="F228" s="23" t="s">
        <v>172</v>
      </c>
    </row>
    <row r="229" spans="1:6" x14ac:dyDescent="0.25">
      <c r="A229" s="24">
        <v>4855404</v>
      </c>
      <c r="B229" s="21" t="s">
        <v>9</v>
      </c>
      <c r="C229" s="21" t="s">
        <v>171</v>
      </c>
      <c r="D229" s="25" t="s">
        <v>179</v>
      </c>
      <c r="E229" s="25" t="s">
        <v>141</v>
      </c>
      <c r="F229" s="23" t="s">
        <v>172</v>
      </c>
    </row>
    <row r="230" spans="1:6" x14ac:dyDescent="0.25">
      <c r="A230" s="24">
        <v>4850818</v>
      </c>
      <c r="B230" s="21" t="s">
        <v>9</v>
      </c>
      <c r="C230" s="21" t="s">
        <v>171</v>
      </c>
      <c r="D230" s="25" t="s">
        <v>180</v>
      </c>
      <c r="E230" s="25" t="s">
        <v>141</v>
      </c>
      <c r="F230" s="23" t="s">
        <v>172</v>
      </c>
    </row>
    <row r="231" spans="1:6" x14ac:dyDescent="0.25">
      <c r="A231" s="24">
        <v>4850819</v>
      </c>
      <c r="B231" s="21" t="s">
        <v>9</v>
      </c>
      <c r="C231" s="21" t="s">
        <v>171</v>
      </c>
      <c r="D231" s="25" t="s">
        <v>181</v>
      </c>
      <c r="E231" s="25" t="s">
        <v>141</v>
      </c>
      <c r="F231" s="23" t="s">
        <v>172</v>
      </c>
    </row>
    <row r="232" spans="1:6" x14ac:dyDescent="0.25">
      <c r="A232" s="24">
        <v>4854227</v>
      </c>
      <c r="B232" s="21" t="s">
        <v>9</v>
      </c>
      <c r="C232" s="21" t="s">
        <v>171</v>
      </c>
      <c r="D232" s="25" t="s">
        <v>173</v>
      </c>
      <c r="E232" s="25" t="s">
        <v>141</v>
      </c>
      <c r="F232" s="23" t="s">
        <v>172</v>
      </c>
    </row>
    <row r="233" spans="1:6" x14ac:dyDescent="0.25">
      <c r="A233" s="24">
        <v>4855470</v>
      </c>
      <c r="B233" s="21" t="s">
        <v>9</v>
      </c>
      <c r="C233" s="21" t="s">
        <v>171</v>
      </c>
      <c r="D233" s="25" t="s">
        <v>176</v>
      </c>
      <c r="E233" s="25" t="s">
        <v>141</v>
      </c>
      <c r="F233" s="23" t="s">
        <v>172</v>
      </c>
    </row>
    <row r="234" spans="1:6" x14ac:dyDescent="0.25">
      <c r="A234" s="24">
        <v>4853966</v>
      </c>
      <c r="B234" s="21" t="s">
        <v>9</v>
      </c>
      <c r="C234" s="21" t="s">
        <v>171</v>
      </c>
      <c r="D234" s="25" t="s">
        <v>177</v>
      </c>
      <c r="E234" s="25" t="s">
        <v>141</v>
      </c>
      <c r="F234" s="23" t="s">
        <v>172</v>
      </c>
    </row>
    <row r="235" spans="1:6" x14ac:dyDescent="0.25">
      <c r="A235" s="24">
        <v>4855754</v>
      </c>
      <c r="B235" s="21" t="s">
        <v>9</v>
      </c>
      <c r="C235" s="21" t="s">
        <v>171</v>
      </c>
      <c r="D235" s="25" t="s">
        <v>174</v>
      </c>
      <c r="E235" s="25" t="s">
        <v>141</v>
      </c>
      <c r="F235" s="23" t="s">
        <v>172</v>
      </c>
    </row>
    <row r="236" spans="1:6" x14ac:dyDescent="0.25">
      <c r="A236" s="24">
        <v>4853518</v>
      </c>
      <c r="B236" s="21" t="s">
        <v>9</v>
      </c>
      <c r="C236" s="21" t="s">
        <v>171</v>
      </c>
      <c r="D236" s="25" t="s">
        <v>175</v>
      </c>
      <c r="E236" s="25" t="s">
        <v>141</v>
      </c>
      <c r="F236" s="23" t="s">
        <v>172</v>
      </c>
    </row>
    <row r="237" spans="1:6" x14ac:dyDescent="0.25">
      <c r="A237" s="24">
        <v>4852756</v>
      </c>
      <c r="B237" s="21" t="s">
        <v>9</v>
      </c>
      <c r="C237" s="21" t="s">
        <v>171</v>
      </c>
      <c r="D237" s="25" t="s">
        <v>182</v>
      </c>
      <c r="E237" s="25" t="s">
        <v>141</v>
      </c>
      <c r="F237" s="23" t="s">
        <v>172</v>
      </c>
    </row>
    <row r="238" spans="1:6" x14ac:dyDescent="0.25">
      <c r="A238" s="24">
        <v>4855872</v>
      </c>
      <c r="B238" s="21" t="s">
        <v>9</v>
      </c>
      <c r="C238" s="21" t="s">
        <v>212</v>
      </c>
      <c r="D238" s="25" t="s">
        <v>221</v>
      </c>
      <c r="E238" s="25" t="s">
        <v>141</v>
      </c>
      <c r="F238" s="23" t="s">
        <v>213</v>
      </c>
    </row>
    <row r="239" spans="1:6" x14ac:dyDescent="0.25">
      <c r="A239" s="24">
        <v>4852885</v>
      </c>
      <c r="B239" s="21" t="s">
        <v>9</v>
      </c>
      <c r="C239" s="21" t="s">
        <v>212</v>
      </c>
      <c r="D239" s="25" t="s">
        <v>222</v>
      </c>
      <c r="E239" s="25" t="s">
        <v>141</v>
      </c>
      <c r="F239" s="23" t="s">
        <v>213</v>
      </c>
    </row>
    <row r="240" spans="1:6" x14ac:dyDescent="0.25">
      <c r="A240" s="24">
        <v>4850108</v>
      </c>
      <c r="B240" s="21" t="s">
        <v>9</v>
      </c>
      <c r="C240" s="21" t="s">
        <v>212</v>
      </c>
      <c r="D240" s="25" t="s">
        <v>217</v>
      </c>
      <c r="E240" s="25" t="s">
        <v>141</v>
      </c>
      <c r="F240" s="23" t="s">
        <v>213</v>
      </c>
    </row>
    <row r="241" spans="1:6" x14ac:dyDescent="0.25">
      <c r="A241" s="24">
        <v>4854059</v>
      </c>
      <c r="B241" s="21" t="s">
        <v>9</v>
      </c>
      <c r="C241" s="21" t="s">
        <v>212</v>
      </c>
      <c r="D241" s="25" t="s">
        <v>215</v>
      </c>
      <c r="E241" s="25" t="s">
        <v>141</v>
      </c>
      <c r="F241" s="23" t="s">
        <v>213</v>
      </c>
    </row>
    <row r="242" spans="1:6" x14ac:dyDescent="0.25">
      <c r="A242" s="24">
        <v>4852903</v>
      </c>
      <c r="B242" s="21" t="s">
        <v>9</v>
      </c>
      <c r="C242" s="21" t="s">
        <v>212</v>
      </c>
      <c r="D242" s="25" t="s">
        <v>223</v>
      </c>
      <c r="E242" s="25" t="s">
        <v>141</v>
      </c>
      <c r="F242" s="23" t="s">
        <v>213</v>
      </c>
    </row>
    <row r="243" spans="1:6" x14ac:dyDescent="0.25">
      <c r="A243" s="24">
        <v>4851168</v>
      </c>
      <c r="B243" s="21" t="s">
        <v>9</v>
      </c>
      <c r="C243" s="21" t="s">
        <v>212</v>
      </c>
      <c r="D243" s="25" t="s">
        <v>219</v>
      </c>
      <c r="E243" s="25" t="s">
        <v>141</v>
      </c>
      <c r="F243" s="23" t="s">
        <v>213</v>
      </c>
    </row>
    <row r="244" spans="1:6" x14ac:dyDescent="0.25">
      <c r="A244" s="24">
        <v>4854165</v>
      </c>
      <c r="B244" s="21" t="s">
        <v>9</v>
      </c>
      <c r="C244" s="21" t="s">
        <v>212</v>
      </c>
      <c r="D244" s="25" t="s">
        <v>214</v>
      </c>
      <c r="E244" s="25" t="s">
        <v>141</v>
      </c>
      <c r="F244" s="23" t="s">
        <v>213</v>
      </c>
    </row>
    <row r="245" spans="1:6" x14ac:dyDescent="0.25">
      <c r="A245" s="24">
        <v>4850414</v>
      </c>
      <c r="B245" s="21" t="s">
        <v>9</v>
      </c>
      <c r="C245" s="21" t="s">
        <v>212</v>
      </c>
      <c r="D245" s="25" t="s">
        <v>218</v>
      </c>
      <c r="E245" s="25" t="s">
        <v>141</v>
      </c>
      <c r="F245" s="23" t="s">
        <v>213</v>
      </c>
    </row>
    <row r="246" spans="1:6" x14ac:dyDescent="0.25">
      <c r="A246" s="24">
        <v>4851170</v>
      </c>
      <c r="B246" s="21" t="s">
        <v>9</v>
      </c>
      <c r="C246" s="21" t="s">
        <v>212</v>
      </c>
      <c r="D246" s="25" t="s">
        <v>220</v>
      </c>
      <c r="E246" s="25" t="s">
        <v>141</v>
      </c>
      <c r="F246" s="23" t="s">
        <v>213</v>
      </c>
    </row>
    <row r="247" spans="1:6" x14ac:dyDescent="0.25">
      <c r="A247" s="24">
        <v>4853106</v>
      </c>
      <c r="B247" s="21" t="s">
        <v>9</v>
      </c>
      <c r="C247" s="21" t="s">
        <v>212</v>
      </c>
      <c r="D247" s="25" t="s">
        <v>216</v>
      </c>
      <c r="E247" s="25" t="s">
        <v>141</v>
      </c>
      <c r="F247" s="23" t="s">
        <v>213</v>
      </c>
    </row>
    <row r="248" spans="1:6" x14ac:dyDescent="0.25">
      <c r="A248" s="24">
        <v>4854357</v>
      </c>
      <c r="B248" s="21" t="s">
        <v>9</v>
      </c>
      <c r="C248" s="21" t="s">
        <v>212</v>
      </c>
      <c r="D248" s="25" t="s">
        <v>224</v>
      </c>
      <c r="E248" s="25" t="s">
        <v>141</v>
      </c>
      <c r="F248" s="23" t="s">
        <v>213</v>
      </c>
    </row>
    <row r="249" spans="1:6" x14ac:dyDescent="0.25">
      <c r="A249" s="24">
        <v>4853639</v>
      </c>
      <c r="B249" s="21" t="s">
        <v>9</v>
      </c>
      <c r="C249" s="21" t="s">
        <v>184</v>
      </c>
      <c r="D249" s="25" t="s">
        <v>193</v>
      </c>
      <c r="E249" s="25" t="s">
        <v>141</v>
      </c>
      <c r="F249" s="23" t="s">
        <v>185</v>
      </c>
    </row>
    <row r="250" spans="1:6" x14ac:dyDescent="0.25">
      <c r="A250" s="24">
        <v>4855128</v>
      </c>
      <c r="B250" s="21" t="s">
        <v>9</v>
      </c>
      <c r="C250" s="21" t="s">
        <v>184</v>
      </c>
      <c r="D250" s="25" t="s">
        <v>234</v>
      </c>
      <c r="E250" s="25" t="s">
        <v>141</v>
      </c>
      <c r="F250" s="23" t="s">
        <v>185</v>
      </c>
    </row>
    <row r="251" spans="1:6" x14ac:dyDescent="0.25">
      <c r="A251" s="24">
        <v>4854623</v>
      </c>
      <c r="B251" s="21" t="s">
        <v>9</v>
      </c>
      <c r="C251" s="21" t="s">
        <v>184</v>
      </c>
      <c r="D251" s="25" t="s">
        <v>233</v>
      </c>
      <c r="E251" s="25" t="s">
        <v>141</v>
      </c>
      <c r="F251" s="23" t="s">
        <v>185</v>
      </c>
    </row>
    <row r="252" spans="1:6" x14ac:dyDescent="0.25">
      <c r="A252" s="24">
        <v>4853798</v>
      </c>
      <c r="B252" s="21" t="s">
        <v>9</v>
      </c>
      <c r="C252" s="21" t="s">
        <v>184</v>
      </c>
      <c r="D252" s="25" t="s">
        <v>192</v>
      </c>
      <c r="E252" s="25" t="s">
        <v>141</v>
      </c>
      <c r="F252" s="23" t="s">
        <v>185</v>
      </c>
    </row>
    <row r="253" spans="1:6" x14ac:dyDescent="0.25">
      <c r="A253" s="24">
        <v>4855285</v>
      </c>
      <c r="B253" s="21" t="s">
        <v>9</v>
      </c>
      <c r="C253" s="21" t="s">
        <v>184</v>
      </c>
      <c r="D253" s="25" t="s">
        <v>232</v>
      </c>
      <c r="E253" s="25" t="s">
        <v>141</v>
      </c>
      <c r="F253" s="23" t="s">
        <v>185</v>
      </c>
    </row>
    <row r="254" spans="1:6" x14ac:dyDescent="0.25">
      <c r="A254" s="24">
        <v>4856442</v>
      </c>
      <c r="B254" s="21" t="s">
        <v>9</v>
      </c>
      <c r="C254" s="21" t="s">
        <v>184</v>
      </c>
      <c r="D254" s="25" t="s">
        <v>191</v>
      </c>
      <c r="E254" s="25" t="s">
        <v>141</v>
      </c>
      <c r="F254" s="23" t="s">
        <v>185</v>
      </c>
    </row>
    <row r="255" spans="1:6" x14ac:dyDescent="0.25">
      <c r="A255" s="24">
        <v>4853700</v>
      </c>
      <c r="B255" s="21" t="s">
        <v>9</v>
      </c>
      <c r="C255" s="21" t="s">
        <v>184</v>
      </c>
      <c r="D255" s="25" t="s">
        <v>196</v>
      </c>
      <c r="E255" s="25" t="s">
        <v>141</v>
      </c>
      <c r="F255" s="23" t="s">
        <v>185</v>
      </c>
    </row>
    <row r="256" spans="1:6" x14ac:dyDescent="0.25">
      <c r="A256" s="24">
        <v>4852971</v>
      </c>
      <c r="B256" s="21" t="s">
        <v>9</v>
      </c>
      <c r="C256" s="21" t="s">
        <v>184</v>
      </c>
      <c r="D256" s="25" t="s">
        <v>231</v>
      </c>
      <c r="E256" s="25" t="s">
        <v>141</v>
      </c>
      <c r="F256" s="23" t="s">
        <v>185</v>
      </c>
    </row>
    <row r="257" spans="1:6" x14ac:dyDescent="0.25">
      <c r="A257" s="24">
        <v>4850481</v>
      </c>
      <c r="B257" s="21" t="s">
        <v>9</v>
      </c>
      <c r="C257" s="21" t="s">
        <v>184</v>
      </c>
      <c r="D257" s="25" t="s">
        <v>186</v>
      </c>
      <c r="E257" s="25" t="s">
        <v>141</v>
      </c>
      <c r="F257" s="23" t="s">
        <v>185</v>
      </c>
    </row>
    <row r="258" spans="1:6" x14ac:dyDescent="0.25">
      <c r="A258" s="24">
        <v>4854684</v>
      </c>
      <c r="B258" s="21" t="s">
        <v>9</v>
      </c>
      <c r="C258" s="21" t="s">
        <v>184</v>
      </c>
      <c r="D258" s="27" t="s">
        <v>225</v>
      </c>
      <c r="E258" s="25" t="s">
        <v>141</v>
      </c>
      <c r="F258" s="23" t="s">
        <v>185</v>
      </c>
    </row>
    <row r="259" spans="1:6" x14ac:dyDescent="0.25">
      <c r="A259" s="24">
        <v>4853940</v>
      </c>
      <c r="B259" s="21" t="s">
        <v>9</v>
      </c>
      <c r="C259" s="21" t="s">
        <v>184</v>
      </c>
      <c r="D259" s="27" t="s">
        <v>188</v>
      </c>
      <c r="E259" s="25" t="s">
        <v>141</v>
      </c>
      <c r="F259" s="23" t="s">
        <v>185</v>
      </c>
    </row>
    <row r="260" spans="1:6" x14ac:dyDescent="0.25">
      <c r="A260" s="24">
        <v>4852960</v>
      </c>
      <c r="B260" s="21" t="s">
        <v>9</v>
      </c>
      <c r="C260" s="21" t="s">
        <v>184</v>
      </c>
      <c r="D260" s="27" t="s">
        <v>230</v>
      </c>
      <c r="E260" s="25" t="s">
        <v>141</v>
      </c>
      <c r="F260" s="23" t="s">
        <v>185</v>
      </c>
    </row>
    <row r="261" spans="1:6" x14ac:dyDescent="0.25">
      <c r="A261" s="24">
        <v>4855353</v>
      </c>
      <c r="B261" s="21" t="s">
        <v>9</v>
      </c>
      <c r="C261" s="21" t="s">
        <v>184</v>
      </c>
      <c r="D261" s="27" t="s">
        <v>187</v>
      </c>
      <c r="E261" s="25" t="s">
        <v>141</v>
      </c>
      <c r="F261" s="23" t="s">
        <v>185</v>
      </c>
    </row>
    <row r="262" spans="1:6" x14ac:dyDescent="0.25">
      <c r="A262" s="24">
        <v>4853264</v>
      </c>
      <c r="B262" s="21" t="s">
        <v>9</v>
      </c>
      <c r="C262" s="21" t="s">
        <v>184</v>
      </c>
      <c r="D262" s="27" t="s">
        <v>195</v>
      </c>
      <c r="E262" s="25" t="s">
        <v>141</v>
      </c>
      <c r="F262" s="23" t="s">
        <v>185</v>
      </c>
    </row>
    <row r="263" spans="1:6" x14ac:dyDescent="0.25">
      <c r="A263" s="24">
        <v>4853882</v>
      </c>
      <c r="B263" s="21" t="s">
        <v>9</v>
      </c>
      <c r="C263" s="21" t="s">
        <v>184</v>
      </c>
      <c r="D263" s="27" t="s">
        <v>226</v>
      </c>
      <c r="E263" s="25" t="s">
        <v>141</v>
      </c>
      <c r="F263" s="23" t="s">
        <v>185</v>
      </c>
    </row>
    <row r="264" spans="1:6" x14ac:dyDescent="0.25">
      <c r="A264" s="24">
        <v>4851680</v>
      </c>
      <c r="B264" s="21" t="s">
        <v>9</v>
      </c>
      <c r="C264" s="21" t="s">
        <v>184</v>
      </c>
      <c r="D264" s="27" t="s">
        <v>227</v>
      </c>
      <c r="E264" s="25" t="s">
        <v>141</v>
      </c>
      <c r="F264" s="23" t="s">
        <v>185</v>
      </c>
    </row>
    <row r="265" spans="1:6" x14ac:dyDescent="0.25">
      <c r="A265" s="24">
        <v>4854140</v>
      </c>
      <c r="B265" s="21" t="s">
        <v>9</v>
      </c>
      <c r="C265" s="21" t="s">
        <v>184</v>
      </c>
      <c r="D265" s="27" t="s">
        <v>190</v>
      </c>
      <c r="E265" s="25" t="s">
        <v>141</v>
      </c>
      <c r="F265" s="23" t="s">
        <v>185</v>
      </c>
    </row>
    <row r="266" spans="1:6" x14ac:dyDescent="0.25">
      <c r="A266" s="24">
        <v>4854866</v>
      </c>
      <c r="B266" s="21" t="s">
        <v>9</v>
      </c>
      <c r="C266" s="21" t="s">
        <v>184</v>
      </c>
      <c r="D266" s="27" t="s">
        <v>189</v>
      </c>
      <c r="E266" s="25" t="s">
        <v>141</v>
      </c>
      <c r="F266" s="23" t="s">
        <v>185</v>
      </c>
    </row>
    <row r="267" spans="1:6" x14ac:dyDescent="0.25">
      <c r="A267" s="24">
        <v>4854013</v>
      </c>
      <c r="B267" s="21" t="s">
        <v>9</v>
      </c>
      <c r="C267" s="21" t="s">
        <v>184</v>
      </c>
      <c r="D267" s="27" t="s">
        <v>228</v>
      </c>
      <c r="E267" s="25" t="s">
        <v>141</v>
      </c>
      <c r="F267" s="23" t="s">
        <v>185</v>
      </c>
    </row>
    <row r="268" spans="1:6" x14ac:dyDescent="0.25">
      <c r="A268" s="24">
        <v>4852509</v>
      </c>
      <c r="B268" s="21" t="s">
        <v>9</v>
      </c>
      <c r="C268" s="21" t="s">
        <v>184</v>
      </c>
      <c r="D268" s="27" t="s">
        <v>229</v>
      </c>
      <c r="E268" s="25" t="s">
        <v>141</v>
      </c>
      <c r="F268" s="23" t="s">
        <v>185</v>
      </c>
    </row>
    <row r="269" spans="1:6" x14ac:dyDescent="0.25">
      <c r="A269" s="24">
        <v>4859484</v>
      </c>
      <c r="B269" s="21" t="s">
        <v>9</v>
      </c>
      <c r="C269" s="21" t="s">
        <v>184</v>
      </c>
      <c r="D269" s="27" t="s">
        <v>194</v>
      </c>
      <c r="E269" s="25" t="s">
        <v>141</v>
      </c>
      <c r="F269" s="23" t="s">
        <v>185</v>
      </c>
    </row>
    <row r="270" spans="1:6" x14ac:dyDescent="0.25">
      <c r="A270" s="24">
        <v>4850740</v>
      </c>
      <c r="B270" s="21" t="s">
        <v>9</v>
      </c>
      <c r="C270" s="21" t="s">
        <v>150</v>
      </c>
      <c r="D270" s="27" t="s">
        <v>154</v>
      </c>
      <c r="E270" s="25" t="s">
        <v>141</v>
      </c>
      <c r="F270" s="23" t="s">
        <v>139</v>
      </c>
    </row>
    <row r="271" spans="1:6" x14ac:dyDescent="0.25">
      <c r="A271" s="24">
        <v>4855880</v>
      </c>
      <c r="B271" s="21" t="s">
        <v>9</v>
      </c>
      <c r="C271" s="21" t="s">
        <v>150</v>
      </c>
      <c r="D271" s="27" t="s">
        <v>153</v>
      </c>
      <c r="E271" s="25" t="s">
        <v>141</v>
      </c>
      <c r="F271" s="23" t="s">
        <v>139</v>
      </c>
    </row>
    <row r="272" spans="1:6" x14ac:dyDescent="0.25">
      <c r="A272" s="24">
        <v>4855394</v>
      </c>
      <c r="B272" s="21" t="s">
        <v>9</v>
      </c>
      <c r="C272" s="21" t="s">
        <v>150</v>
      </c>
      <c r="D272" s="27" t="s">
        <v>152</v>
      </c>
      <c r="E272" s="25" t="s">
        <v>141</v>
      </c>
      <c r="F272" s="23" t="s">
        <v>139</v>
      </c>
    </row>
    <row r="273" spans="1:6" x14ac:dyDescent="0.25">
      <c r="A273" s="24">
        <v>4851582</v>
      </c>
      <c r="B273" s="21" t="s">
        <v>9</v>
      </c>
      <c r="C273" s="21" t="s">
        <v>150</v>
      </c>
      <c r="D273" s="27" t="s">
        <v>155</v>
      </c>
      <c r="E273" s="25" t="s">
        <v>141</v>
      </c>
      <c r="F273" s="23" t="s">
        <v>139</v>
      </c>
    </row>
    <row r="274" spans="1:6" x14ac:dyDescent="0.25">
      <c r="A274" s="24">
        <v>4852331</v>
      </c>
      <c r="B274" s="21" t="s">
        <v>9</v>
      </c>
      <c r="C274" s="21" t="s">
        <v>150</v>
      </c>
      <c r="D274" s="27" t="s">
        <v>156</v>
      </c>
      <c r="E274" s="25" t="s">
        <v>141</v>
      </c>
      <c r="F274" s="23" t="s">
        <v>139</v>
      </c>
    </row>
    <row r="275" spans="1:6" x14ac:dyDescent="0.25">
      <c r="A275" s="24">
        <v>4854582</v>
      </c>
      <c r="B275" s="21" t="s">
        <v>9</v>
      </c>
      <c r="C275" s="21" t="s">
        <v>150</v>
      </c>
      <c r="D275" s="27" t="s">
        <v>157</v>
      </c>
      <c r="E275" s="25" t="s">
        <v>141</v>
      </c>
      <c r="F275" s="23" t="s">
        <v>139</v>
      </c>
    </row>
    <row r="276" spans="1:6" x14ac:dyDescent="0.25">
      <c r="A276" s="24">
        <v>4854687</v>
      </c>
      <c r="B276" s="21" t="s">
        <v>9</v>
      </c>
      <c r="C276" s="21" t="s">
        <v>150</v>
      </c>
      <c r="D276" s="27" t="s">
        <v>151</v>
      </c>
      <c r="E276" s="25" t="s">
        <v>141</v>
      </c>
      <c r="F276" s="23" t="s">
        <v>139</v>
      </c>
    </row>
    <row r="277" spans="1:6" x14ac:dyDescent="0.25">
      <c r="A277" s="24">
        <v>4850351</v>
      </c>
      <c r="B277" s="21" t="s">
        <v>9</v>
      </c>
      <c r="C277" s="21" t="s">
        <v>150</v>
      </c>
      <c r="D277" s="27" t="s">
        <v>158</v>
      </c>
      <c r="E277" s="25" t="s">
        <v>141</v>
      </c>
      <c r="F277" s="23" t="s">
        <v>139</v>
      </c>
    </row>
    <row r="278" spans="1:6" x14ac:dyDescent="0.25">
      <c r="A278" s="24">
        <v>4852626</v>
      </c>
      <c r="B278" s="21" t="s">
        <v>9</v>
      </c>
      <c r="C278" s="21" t="s">
        <v>150</v>
      </c>
      <c r="D278" s="27" t="s">
        <v>160</v>
      </c>
      <c r="E278" s="25" t="s">
        <v>141</v>
      </c>
      <c r="F278" s="23" t="s">
        <v>139</v>
      </c>
    </row>
    <row r="279" spans="1:6" x14ac:dyDescent="0.25">
      <c r="A279" s="24">
        <v>4854983</v>
      </c>
      <c r="B279" s="21" t="s">
        <v>9</v>
      </c>
      <c r="C279" s="21" t="s">
        <v>150</v>
      </c>
      <c r="D279" s="27" t="s">
        <v>159</v>
      </c>
      <c r="E279" s="25" t="s">
        <v>141</v>
      </c>
      <c r="F279" s="23" t="s">
        <v>139</v>
      </c>
    </row>
    <row r="280" spans="1:6" x14ac:dyDescent="0.25">
      <c r="A280" s="24">
        <v>4855866</v>
      </c>
      <c r="B280" s="21" t="s">
        <v>9</v>
      </c>
      <c r="C280" s="21" t="s">
        <v>138</v>
      </c>
      <c r="D280" s="27" t="s">
        <v>146</v>
      </c>
      <c r="E280" s="25" t="s">
        <v>141</v>
      </c>
      <c r="F280" s="23" t="s">
        <v>139</v>
      </c>
    </row>
    <row r="281" spans="1:6" x14ac:dyDescent="0.25">
      <c r="A281" s="24">
        <v>4852150</v>
      </c>
      <c r="B281" s="21" t="s">
        <v>9</v>
      </c>
      <c r="C281" s="21" t="s">
        <v>138</v>
      </c>
      <c r="D281" s="27" t="s">
        <v>147</v>
      </c>
      <c r="E281" s="25" t="s">
        <v>141</v>
      </c>
      <c r="F281" s="23" t="s">
        <v>139</v>
      </c>
    </row>
    <row r="282" spans="1:6" x14ac:dyDescent="0.25">
      <c r="A282" s="24">
        <v>4858230</v>
      </c>
      <c r="B282" s="21" t="s">
        <v>9</v>
      </c>
      <c r="C282" s="21" t="s">
        <v>138</v>
      </c>
      <c r="D282" s="27" t="s">
        <v>149</v>
      </c>
      <c r="E282" s="25" t="s">
        <v>141</v>
      </c>
      <c r="F282" s="23" t="s">
        <v>139</v>
      </c>
    </row>
    <row r="283" spans="1:6" x14ac:dyDescent="0.25">
      <c r="A283" s="24">
        <v>4854784</v>
      </c>
      <c r="B283" s="21" t="s">
        <v>9</v>
      </c>
      <c r="C283" s="21" t="s">
        <v>138</v>
      </c>
      <c r="D283" s="27" t="s">
        <v>140</v>
      </c>
      <c r="E283" s="25" t="s">
        <v>141</v>
      </c>
      <c r="F283" s="23" t="s">
        <v>139</v>
      </c>
    </row>
    <row r="284" spans="1:6" x14ac:dyDescent="0.25">
      <c r="A284" s="24">
        <v>4855426</v>
      </c>
      <c r="B284" s="21" t="s">
        <v>9</v>
      </c>
      <c r="C284" s="21" t="s">
        <v>138</v>
      </c>
      <c r="D284" s="27" t="s">
        <v>142</v>
      </c>
      <c r="E284" s="25" t="s">
        <v>141</v>
      </c>
      <c r="F284" s="23" t="s">
        <v>139</v>
      </c>
    </row>
    <row r="285" spans="1:6" x14ac:dyDescent="0.25">
      <c r="A285" s="24">
        <v>4855684</v>
      </c>
      <c r="B285" s="21" t="s">
        <v>9</v>
      </c>
      <c r="C285" s="21" t="s">
        <v>138</v>
      </c>
      <c r="D285" s="27" t="s">
        <v>145</v>
      </c>
      <c r="E285" s="25" t="s">
        <v>141</v>
      </c>
      <c r="F285" s="23" t="s">
        <v>139</v>
      </c>
    </row>
    <row r="286" spans="1:6" x14ac:dyDescent="0.25">
      <c r="A286" s="24">
        <v>4856164</v>
      </c>
      <c r="B286" s="21" t="s">
        <v>9</v>
      </c>
      <c r="C286" s="21" t="s">
        <v>138</v>
      </c>
      <c r="D286" s="27" t="s">
        <v>148</v>
      </c>
      <c r="E286" s="25" t="s">
        <v>141</v>
      </c>
      <c r="F286" s="23" t="s">
        <v>139</v>
      </c>
    </row>
    <row r="287" spans="1:6" x14ac:dyDescent="0.25">
      <c r="A287" s="24">
        <v>4853865</v>
      </c>
      <c r="B287" s="21" t="s">
        <v>9</v>
      </c>
      <c r="C287" s="21" t="s">
        <v>138</v>
      </c>
      <c r="D287" s="27" t="s">
        <v>144</v>
      </c>
      <c r="E287" s="25" t="s">
        <v>141</v>
      </c>
      <c r="F287" s="23" t="s">
        <v>139</v>
      </c>
    </row>
    <row r="288" spans="1:6" x14ac:dyDescent="0.25">
      <c r="A288" s="24">
        <v>4850099</v>
      </c>
      <c r="B288" s="21" t="s">
        <v>9</v>
      </c>
      <c r="C288" s="21" t="s">
        <v>138</v>
      </c>
      <c r="D288" s="27" t="s">
        <v>143</v>
      </c>
      <c r="E288" s="25" t="s">
        <v>141</v>
      </c>
      <c r="F288" s="23" t="s">
        <v>139</v>
      </c>
    </row>
    <row r="289" spans="1:6" x14ac:dyDescent="0.25">
      <c r="A289" s="24">
        <v>4852895</v>
      </c>
      <c r="B289" s="21" t="s">
        <v>9</v>
      </c>
      <c r="C289" s="21" t="s">
        <v>10</v>
      </c>
      <c r="D289" s="27" t="s">
        <v>165</v>
      </c>
      <c r="E289" s="25" t="s">
        <v>141</v>
      </c>
      <c r="F289" s="23" t="s">
        <v>161</v>
      </c>
    </row>
    <row r="290" spans="1:6" x14ac:dyDescent="0.25">
      <c r="A290" s="24">
        <v>4853184</v>
      </c>
      <c r="B290" s="21" t="s">
        <v>9</v>
      </c>
      <c r="C290" s="21" t="s">
        <v>10</v>
      </c>
      <c r="D290" s="27" t="s">
        <v>164</v>
      </c>
      <c r="E290" s="25" t="s">
        <v>141</v>
      </c>
      <c r="F290" s="23" t="s">
        <v>161</v>
      </c>
    </row>
    <row r="291" spans="1:6" x14ac:dyDescent="0.25">
      <c r="A291" s="24">
        <v>4858221</v>
      </c>
      <c r="B291" s="21" t="s">
        <v>9</v>
      </c>
      <c r="C291" s="21" t="s">
        <v>10</v>
      </c>
      <c r="D291" s="27" t="s">
        <v>208</v>
      </c>
      <c r="E291" s="25" t="s">
        <v>141</v>
      </c>
      <c r="F291" s="23" t="s">
        <v>197</v>
      </c>
    </row>
    <row r="292" spans="1:6" x14ac:dyDescent="0.25">
      <c r="A292" s="24">
        <v>4850080</v>
      </c>
      <c r="B292" s="21" t="s">
        <v>9</v>
      </c>
      <c r="C292" s="21" t="s">
        <v>10</v>
      </c>
      <c r="D292" s="27" t="s">
        <v>166</v>
      </c>
      <c r="E292" s="25" t="s">
        <v>141</v>
      </c>
      <c r="F292" s="23" t="s">
        <v>161</v>
      </c>
    </row>
    <row r="293" spans="1:6" x14ac:dyDescent="0.25">
      <c r="A293" s="24">
        <v>4851580</v>
      </c>
      <c r="B293" s="21" t="s">
        <v>9</v>
      </c>
      <c r="C293" s="21" t="s">
        <v>10</v>
      </c>
      <c r="D293" s="27" t="s">
        <v>205</v>
      </c>
      <c r="E293" s="25" t="s">
        <v>141</v>
      </c>
      <c r="F293" s="23" t="s">
        <v>197</v>
      </c>
    </row>
    <row r="294" spans="1:6" x14ac:dyDescent="0.25">
      <c r="A294" s="24">
        <v>4851581</v>
      </c>
      <c r="B294" s="21" t="s">
        <v>9</v>
      </c>
      <c r="C294" s="21" t="s">
        <v>10</v>
      </c>
      <c r="D294" s="27" t="s">
        <v>167</v>
      </c>
      <c r="E294" s="25" t="s">
        <v>141</v>
      </c>
      <c r="F294" s="23" t="s">
        <v>161</v>
      </c>
    </row>
    <row r="295" spans="1:6" x14ac:dyDescent="0.25">
      <c r="A295" s="24">
        <v>4857182</v>
      </c>
      <c r="B295" s="21" t="s">
        <v>9</v>
      </c>
      <c r="C295" s="21" t="s">
        <v>10</v>
      </c>
      <c r="D295" s="27" t="s">
        <v>210</v>
      </c>
      <c r="E295" s="25" t="s">
        <v>141</v>
      </c>
      <c r="F295" s="23" t="s">
        <v>197</v>
      </c>
    </row>
    <row r="296" spans="1:6" x14ac:dyDescent="0.25">
      <c r="A296" s="24">
        <v>4850257</v>
      </c>
      <c r="B296" s="21" t="s">
        <v>9</v>
      </c>
      <c r="C296" s="21" t="s">
        <v>10</v>
      </c>
      <c r="D296" s="27" t="s">
        <v>162</v>
      </c>
      <c r="E296" s="25" t="s">
        <v>141</v>
      </c>
      <c r="F296" s="23" t="s">
        <v>161</v>
      </c>
    </row>
    <row r="297" spans="1:6" x14ac:dyDescent="0.25">
      <c r="A297" s="24">
        <v>4851995</v>
      </c>
      <c r="B297" s="21" t="s">
        <v>9</v>
      </c>
      <c r="C297" s="21" t="s">
        <v>10</v>
      </c>
      <c r="D297" s="27" t="s">
        <v>198</v>
      </c>
      <c r="E297" s="25" t="s">
        <v>141</v>
      </c>
      <c r="F297" s="23" t="s">
        <v>197</v>
      </c>
    </row>
    <row r="298" spans="1:6" x14ac:dyDescent="0.25">
      <c r="A298" s="24">
        <v>4851151</v>
      </c>
      <c r="B298" s="21" t="s">
        <v>9</v>
      </c>
      <c r="C298" s="21" t="s">
        <v>10</v>
      </c>
      <c r="D298" s="27" t="s">
        <v>204</v>
      </c>
      <c r="E298" s="25" t="s">
        <v>141</v>
      </c>
      <c r="F298" s="23" t="s">
        <v>197</v>
      </c>
    </row>
    <row r="299" spans="1:6" x14ac:dyDescent="0.25">
      <c r="A299" s="24">
        <v>4855649</v>
      </c>
      <c r="B299" s="21" t="s">
        <v>9</v>
      </c>
      <c r="C299" s="21" t="s">
        <v>10</v>
      </c>
      <c r="D299" s="27" t="s">
        <v>169</v>
      </c>
      <c r="E299" s="25" t="s">
        <v>141</v>
      </c>
      <c r="F299" s="23" t="s">
        <v>161</v>
      </c>
    </row>
    <row r="300" spans="1:6" x14ac:dyDescent="0.25">
      <c r="A300" s="24">
        <v>4854163</v>
      </c>
      <c r="B300" s="21" t="s">
        <v>9</v>
      </c>
      <c r="C300" s="21" t="s">
        <v>10</v>
      </c>
      <c r="D300" s="27" t="s">
        <v>207</v>
      </c>
      <c r="E300" s="25" t="s">
        <v>141</v>
      </c>
      <c r="F300" s="23" t="s">
        <v>197</v>
      </c>
    </row>
    <row r="301" spans="1:6" x14ac:dyDescent="0.25">
      <c r="A301" s="24">
        <v>4853182</v>
      </c>
      <c r="B301" s="21" t="s">
        <v>9</v>
      </c>
      <c r="C301" s="21" t="s">
        <v>10</v>
      </c>
      <c r="D301" s="27" t="s">
        <v>203</v>
      </c>
      <c r="E301" s="25" t="s">
        <v>141</v>
      </c>
      <c r="F301" s="23" t="s">
        <v>197</v>
      </c>
    </row>
    <row r="302" spans="1:6" x14ac:dyDescent="0.25">
      <c r="A302" s="24">
        <v>4853481</v>
      </c>
      <c r="B302" s="21" t="s">
        <v>9</v>
      </c>
      <c r="C302" s="21" t="s">
        <v>10</v>
      </c>
      <c r="D302" s="27" t="s">
        <v>163</v>
      </c>
      <c r="E302" s="25" t="s">
        <v>141</v>
      </c>
      <c r="F302" s="23" t="s">
        <v>161</v>
      </c>
    </row>
    <row r="303" spans="1:6" x14ac:dyDescent="0.25">
      <c r="A303" s="24">
        <v>4851906</v>
      </c>
      <c r="B303" s="21" t="s">
        <v>9</v>
      </c>
      <c r="C303" s="21" t="s">
        <v>10</v>
      </c>
      <c r="D303" s="27" t="s">
        <v>200</v>
      </c>
      <c r="E303" s="25" t="s">
        <v>141</v>
      </c>
      <c r="F303" s="23" t="s">
        <v>197</v>
      </c>
    </row>
    <row r="304" spans="1:6" x14ac:dyDescent="0.25">
      <c r="A304" s="24">
        <v>4850938</v>
      </c>
      <c r="B304" s="21" t="s">
        <v>9</v>
      </c>
      <c r="C304" s="21" t="s">
        <v>10</v>
      </c>
      <c r="D304" s="27" t="s">
        <v>199</v>
      </c>
      <c r="E304" s="25" t="s">
        <v>141</v>
      </c>
      <c r="F304" s="23" t="s">
        <v>197</v>
      </c>
    </row>
    <row r="305" spans="1:6" x14ac:dyDescent="0.25">
      <c r="A305" s="24">
        <v>4853188</v>
      </c>
      <c r="B305" s="21" t="s">
        <v>9</v>
      </c>
      <c r="C305" s="21" t="s">
        <v>10</v>
      </c>
      <c r="D305" s="27" t="s">
        <v>202</v>
      </c>
      <c r="E305" s="25" t="s">
        <v>141</v>
      </c>
      <c r="F305" s="23" t="s">
        <v>197</v>
      </c>
    </row>
    <row r="306" spans="1:6" x14ac:dyDescent="0.25">
      <c r="A306" s="24">
        <v>4854522</v>
      </c>
      <c r="B306" s="21" t="s">
        <v>9</v>
      </c>
      <c r="C306" s="21" t="s">
        <v>10</v>
      </c>
      <c r="D306" s="27" t="s">
        <v>201</v>
      </c>
      <c r="E306" s="25" t="s">
        <v>141</v>
      </c>
      <c r="F306" s="23" t="s">
        <v>197</v>
      </c>
    </row>
    <row r="307" spans="1:6" x14ac:dyDescent="0.25">
      <c r="A307" s="24">
        <v>4858316</v>
      </c>
      <c r="B307" s="21" t="s">
        <v>9</v>
      </c>
      <c r="C307" s="21" t="s">
        <v>10</v>
      </c>
      <c r="D307" s="27" t="s">
        <v>209</v>
      </c>
      <c r="E307" s="25" t="s">
        <v>141</v>
      </c>
      <c r="F307" s="23" t="s">
        <v>197</v>
      </c>
    </row>
    <row r="308" spans="1:6" x14ac:dyDescent="0.25">
      <c r="A308" s="24">
        <v>4850168</v>
      </c>
      <c r="B308" s="21" t="s">
        <v>9</v>
      </c>
      <c r="C308" s="21" t="s">
        <v>10</v>
      </c>
      <c r="D308" s="27" t="s">
        <v>206</v>
      </c>
      <c r="E308" s="25" t="s">
        <v>141</v>
      </c>
      <c r="F308" s="23" t="s">
        <v>197</v>
      </c>
    </row>
    <row r="309" spans="1:6" x14ac:dyDescent="0.25">
      <c r="A309" s="24">
        <v>4858358</v>
      </c>
      <c r="B309" s="21" t="s">
        <v>9</v>
      </c>
      <c r="C309" s="21" t="s">
        <v>10</v>
      </c>
      <c r="D309" s="27" t="s">
        <v>170</v>
      </c>
      <c r="E309" s="25" t="s">
        <v>141</v>
      </c>
      <c r="F309" s="23" t="s">
        <v>161</v>
      </c>
    </row>
    <row r="310" spans="1:6" x14ac:dyDescent="0.25">
      <c r="A310" s="24">
        <v>4854874</v>
      </c>
      <c r="B310" s="21" t="s">
        <v>9</v>
      </c>
      <c r="C310" s="21" t="s">
        <v>10</v>
      </c>
      <c r="D310" s="27" t="s">
        <v>168</v>
      </c>
      <c r="E310" s="25" t="s">
        <v>141</v>
      </c>
      <c r="F310" s="23" t="s">
        <v>161</v>
      </c>
    </row>
    <row r="311" spans="1:6" x14ac:dyDescent="0.25">
      <c r="A311" s="24">
        <v>4859556</v>
      </c>
      <c r="B311" s="21" t="s">
        <v>9</v>
      </c>
      <c r="C311" s="21" t="s">
        <v>10</v>
      </c>
      <c r="D311" s="21" t="s">
        <v>211</v>
      </c>
      <c r="E311" s="25" t="s">
        <v>141</v>
      </c>
      <c r="F311" s="23" t="s">
        <v>197</v>
      </c>
    </row>
    <row r="312" spans="1:6" x14ac:dyDescent="0.25">
      <c r="A312" s="24">
        <v>4851406</v>
      </c>
      <c r="B312" s="21" t="s">
        <v>9</v>
      </c>
      <c r="C312" s="21" t="s">
        <v>235</v>
      </c>
      <c r="D312" s="27" t="s">
        <v>240</v>
      </c>
      <c r="E312" s="25" t="s">
        <v>141</v>
      </c>
      <c r="F312" s="23" t="s">
        <v>161</v>
      </c>
    </row>
    <row r="313" spans="1:6" x14ac:dyDescent="0.25">
      <c r="A313" s="24">
        <v>4852163</v>
      </c>
      <c r="B313" s="21" t="s">
        <v>9</v>
      </c>
      <c r="C313" s="21" t="s">
        <v>235</v>
      </c>
      <c r="D313" s="27" t="s">
        <v>238</v>
      </c>
      <c r="E313" s="25" t="s">
        <v>141</v>
      </c>
      <c r="F313" s="33" t="s">
        <v>8</v>
      </c>
    </row>
    <row r="314" spans="1:6" x14ac:dyDescent="0.25">
      <c r="A314" s="24">
        <v>4858302</v>
      </c>
      <c r="B314" s="21" t="s">
        <v>9</v>
      </c>
      <c r="C314" s="21" t="s">
        <v>235</v>
      </c>
      <c r="D314" s="27" t="s">
        <v>243</v>
      </c>
      <c r="E314" s="25" t="s">
        <v>141</v>
      </c>
      <c r="F314" s="33" t="s">
        <v>8</v>
      </c>
    </row>
    <row r="315" spans="1:6" x14ac:dyDescent="0.25">
      <c r="A315" s="24">
        <v>4853799</v>
      </c>
      <c r="B315" s="21" t="s">
        <v>9</v>
      </c>
      <c r="C315" s="21" t="s">
        <v>235</v>
      </c>
      <c r="D315" s="27" t="s">
        <v>237</v>
      </c>
      <c r="E315" s="25" t="s">
        <v>141</v>
      </c>
      <c r="F315" s="21" t="s">
        <v>161</v>
      </c>
    </row>
    <row r="316" spans="1:6" x14ac:dyDescent="0.25">
      <c r="A316" s="24">
        <v>4854500</v>
      </c>
      <c r="B316" s="21" t="s">
        <v>9</v>
      </c>
      <c r="C316" s="21" t="s">
        <v>235</v>
      </c>
      <c r="D316" s="27" t="s">
        <v>239</v>
      </c>
      <c r="E316" s="25" t="s">
        <v>141</v>
      </c>
      <c r="F316" s="22" t="s">
        <v>8</v>
      </c>
    </row>
    <row r="317" spans="1:6" x14ac:dyDescent="0.25">
      <c r="A317" s="24">
        <v>4851492</v>
      </c>
      <c r="B317" s="21" t="s">
        <v>9</v>
      </c>
      <c r="C317" s="21" t="s">
        <v>235</v>
      </c>
      <c r="D317" s="27" t="s">
        <v>241</v>
      </c>
      <c r="E317" s="25" t="s">
        <v>141</v>
      </c>
      <c r="F317" s="21" t="s">
        <v>161</v>
      </c>
    </row>
    <row r="318" spans="1:6" x14ac:dyDescent="0.25">
      <c r="A318" s="24">
        <v>4858468</v>
      </c>
      <c r="B318" s="21" t="s">
        <v>9</v>
      </c>
      <c r="C318" s="21" t="s">
        <v>235</v>
      </c>
      <c r="D318" s="27" t="s">
        <v>244</v>
      </c>
      <c r="E318" s="25" t="s">
        <v>141</v>
      </c>
      <c r="F318" s="22" t="s">
        <v>8</v>
      </c>
    </row>
    <row r="319" spans="1:6" x14ac:dyDescent="0.25">
      <c r="A319" s="24">
        <v>4858724</v>
      </c>
      <c r="B319" s="21" t="s">
        <v>9</v>
      </c>
      <c r="C319" s="21" t="s">
        <v>235</v>
      </c>
      <c r="D319" s="27" t="s">
        <v>246</v>
      </c>
      <c r="E319" s="25" t="s">
        <v>141</v>
      </c>
      <c r="F319" s="22" t="s">
        <v>8</v>
      </c>
    </row>
    <row r="320" spans="1:6" x14ac:dyDescent="0.25">
      <c r="A320" s="24">
        <v>4856216</v>
      </c>
      <c r="B320" s="21" t="s">
        <v>9</v>
      </c>
      <c r="C320" s="21" t="s">
        <v>235</v>
      </c>
      <c r="D320" s="27" t="s">
        <v>242</v>
      </c>
      <c r="E320" s="25" t="s">
        <v>141</v>
      </c>
      <c r="F320" s="21" t="s">
        <v>161</v>
      </c>
    </row>
    <row r="321" spans="1:6" x14ac:dyDescent="0.25">
      <c r="A321" s="26">
        <v>4853510</v>
      </c>
      <c r="B321" s="21" t="s">
        <v>9</v>
      </c>
      <c r="C321" s="21" t="s">
        <v>235</v>
      </c>
      <c r="D321" s="27" t="s">
        <v>236</v>
      </c>
      <c r="E321" s="25" t="s">
        <v>141</v>
      </c>
      <c r="F321" s="21" t="s">
        <v>161</v>
      </c>
    </row>
    <row r="322" spans="1:6" x14ac:dyDescent="0.25">
      <c r="A322" s="26">
        <v>4859683</v>
      </c>
      <c r="B322" s="21" t="s">
        <v>9</v>
      </c>
      <c r="C322" s="21" t="s">
        <v>235</v>
      </c>
      <c r="D322" s="27" t="s">
        <v>245</v>
      </c>
      <c r="E322" s="25" t="s">
        <v>141</v>
      </c>
      <c r="F322" s="22" t="s">
        <v>8</v>
      </c>
    </row>
  </sheetData>
  <autoFilter ref="A1:F1">
    <sortState ref="A2:F322">
      <sortCondition ref="B1"/>
    </sortState>
  </autoFilter>
  <sortState ref="B2:F322">
    <sortCondition ref="B2:B322"/>
    <sortCondition ref="C2:C322"/>
    <sortCondition ref="D2:D322"/>
  </sortState>
  <conditionalFormatting sqref="F95:F100">
    <cfRule type="uniqu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"/>
  <sheetViews>
    <sheetView workbookViewId="0">
      <selection sqref="A1:A96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39</vt:i4>
      </vt:variant>
    </vt:vector>
  </HeadingPairs>
  <TitlesOfParts>
    <vt:vector size="46" baseType="lpstr">
      <vt:lpstr>AUDITORIA</vt:lpstr>
      <vt:lpstr>STOCK</vt:lpstr>
      <vt:lpstr>SOBRANTES</vt:lpstr>
      <vt:lpstr>Hoja2</vt:lpstr>
      <vt:lpstr>COSTOS</vt:lpstr>
      <vt:lpstr>PDV</vt:lpstr>
      <vt:lpstr>Hoja4</vt:lpstr>
      <vt:lpstr>A_1</vt:lpstr>
      <vt:lpstr>A_2</vt:lpstr>
      <vt:lpstr>A_3</vt:lpstr>
      <vt:lpstr>AA_1</vt:lpstr>
      <vt:lpstr>AA_2</vt:lpstr>
      <vt:lpstr>AA_3</vt:lpstr>
      <vt:lpstr>Hoja2!Área_de_extracción</vt:lpstr>
      <vt:lpstr>B_0</vt:lpstr>
      <vt:lpstr>D_1</vt:lpstr>
      <vt:lpstr>D_10</vt:lpstr>
      <vt:lpstr>D_11</vt:lpstr>
      <vt:lpstr>D_12</vt:lpstr>
      <vt:lpstr>D_13</vt:lpstr>
      <vt:lpstr>D_14</vt:lpstr>
      <vt:lpstr>D_2</vt:lpstr>
      <vt:lpstr>D_3</vt:lpstr>
      <vt:lpstr>D_4</vt:lpstr>
      <vt:lpstr>D_5</vt:lpstr>
      <vt:lpstr>D_6</vt:lpstr>
      <vt:lpstr>D_7</vt:lpstr>
      <vt:lpstr>D_8</vt:lpstr>
      <vt:lpstr>D_9</vt:lpstr>
      <vt:lpstr>F_1</vt:lpstr>
      <vt:lpstr>F_2</vt:lpstr>
      <vt:lpstr>L_1</vt:lpstr>
      <vt:lpstr>L_2</vt:lpstr>
      <vt:lpstr>L_3</vt:lpstr>
      <vt:lpstr>L_4</vt:lpstr>
      <vt:lpstr>MD_10</vt:lpstr>
      <vt:lpstr>MD_11</vt:lpstr>
      <vt:lpstr>md_12</vt:lpstr>
      <vt:lpstr>MD_13</vt:lpstr>
      <vt:lpstr>MD_14</vt:lpstr>
      <vt:lpstr>MD_15</vt:lpstr>
      <vt:lpstr>MD_16</vt:lpstr>
      <vt:lpstr>N_1</vt:lpstr>
      <vt:lpstr>N_2</vt:lpstr>
      <vt:lpstr>N_3</vt:lpstr>
      <vt:lpstr>VACIO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BACKOFFICE</dc:creator>
  <cp:lastModifiedBy>Elizabeth Peña</cp:lastModifiedBy>
  <dcterms:created xsi:type="dcterms:W3CDTF">2020-10-01T00:38:38Z</dcterms:created>
  <dcterms:modified xsi:type="dcterms:W3CDTF">2020-10-22T22:35:47Z</dcterms:modified>
</cp:coreProperties>
</file>